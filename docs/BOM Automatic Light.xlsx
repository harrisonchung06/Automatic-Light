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<sst xmlns="http://schemas.openxmlformats.org/spreadsheetml/2006/main" count="25" uniqueCount="18">
  <si>
    <t>Item</t>
  </si>
  <si>
    <t>Datasheet</t>
  </si>
  <si>
    <t>Date Purchased</t>
  </si>
  <si>
    <t>Qty</t>
  </si>
  <si>
    <t>Price</t>
  </si>
  <si>
    <t>Totals</t>
  </si>
  <si>
    <t>SG90 Servo</t>
  </si>
  <si>
    <t>Link</t>
  </si>
  <si>
    <t>Ardunio</t>
  </si>
  <si>
    <t>IR Sensor</t>
  </si>
  <si>
    <t>Double Sided Tape</t>
  </si>
  <si>
    <t>NA</t>
  </si>
  <si>
    <t>Battery Cap</t>
  </si>
  <si>
    <t>9V Battery</t>
  </si>
  <si>
    <t>Wire</t>
  </si>
  <si>
    <t>M2 Screws</t>
  </si>
  <si>
    <t>M3 Screws</t>
  </si>
  <si>
    <t>Total Cost: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</si>
</sst>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QOOSIKICC-Assortment-Socket-Washers-Machine/dp/B0DDXZH9L2?crid=1ZK7GT3PYMB2H&amp;dib=eyJ2IjoiMSJ9.IhzHcfVo870c9T9QDHXcmJIEn1KyzQ_XJTfJBB_TJIjOgyU6ubKFSPHLAt2ffGzWwn9BeCZ5lB5DH7DaeceH2xQNoHk3Xn_cGmgxk92hzNnWqCx8jgBjCe8zBwYGj97d1S85hcN_fOILmTGFcCf4l3PP1KCbhhmK6jp0MTC872UdkLfDpzAzG8JRfivMlbpWReRuNLQ2EimStLuuGl41LvFIJiFPze5zJ91f9KBG7Yw.wO91jjaGin2B0ZuERtUX_MI5TT7_-UI3StApz6UL8V8&amp;dib_tag=se&amp;keywords=m2+screws&amp;qid=1766374362&amp;sprefix=m2+scr%2Caps%2C406&amp;sr=8-1" TargetMode="External"/><Relationship Id="rId10" Type="http://schemas.openxmlformats.org/officeDocument/2006/relationships/hyperlink" Target="https://www.amazon.com/Fermerry-Stranded-Electronic-Electrical-Automotive/dp/B089CFST2X?dib=eyJ2IjoiMSJ9.3tPHVzAakjyVVJLqckyxyzL-0myiOR5wH6fTQbsswGJMEF_Sqj57EviV1vZqV7PKPxDSs1z8qKhXAAF8o7BcShNqa_s3f6DtFJiXSMbT7zCUzaPR9cU2964_fUdNXohbf7O6x8u6SE3AVSSPIPUnJ2tQVipSO2GZtBt2brusWj_EQIggslAzAwPOKBD-JRWLebmH7hxxvJbW5AyGZfITZSYvEmY0Cmbm-SWsSZXN7raFpdNhBSsqrh1EHYIpKsfLnIi_Gm1Ze7n8PEZzk_pyF-ZyLMVCZq54Wvjqn6R4zeU.9pXNU8jDnHCMtblMpKl6u79qm7yMWGZnMF3PwdoFI60&amp;dib_tag=se&amp;keywords=20%2Bawg%2Bmulticolor&amp;qid=1766351089&amp;sr=8-3&amp;th=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mazon.com/Screws-Assortment-Plated-Socket-Washers/dp/B0D3X5CT2J?crid=2T28EWNNI45U5&amp;dib=eyJ2IjoiMSJ9.F0aly9M9JjpydUyvLizupL59VwdCdK-9nMXZ5KcEt8R-T2MUMD4Use-YOv82XUxRWZZdtc2hSFHLgyEerwzgO-MEAjEMQw75SftlzYi8oX4FfewIIwOuhtYaIipOGZrMVeC2gEI_oEQW9lGpJEtruer4LYvuiG6R-h313ldYKKYT7IdZwG0XSx7yOBb9Fsz9cB6vveD_4g-rLC8w5yZsYlqpsqRpgDBeCUED6sqlt0o.CLnnyFGYNu739zzxNXeopKT9aDdHa3dKGw8l30xSzQg&amp;dib_tag=se&amp;keywords=m3+screws&amp;qid=1766379047&amp;sprefix=m3+screws%2Caps%2C401&amp;sr=8-1" TargetMode="External"/><Relationship Id="rId1" Type="http://schemas.openxmlformats.org/officeDocument/2006/relationships/hyperlink" Target="https://www.amazon.com/Micro-Servos-Helicopter-Airplane-Controls/dp/B07MLR1498?crid=30Z10HDWIHABV&amp;dib=eyJ2IjoiMSJ9.Z8zXoZs9nMkNwqQN2AI2FhmnWQfgWObJWhZ6x2ZaCcRcyYp1uhQbh9MDU38bONwNug0wgpSKSjc1IY_KkTIU-cYtihyr2yLxpUi2zMSWkMK8ci8o0RgWCVKuwVQh-aDjnDKoiN2uSIehG5QiCeItt26jsqTAGRkfy9OQ8qd1BDs6Ob-YvuPc8QVF7pVFm4_lEUMq4Rl3Dlv02FR-_y-tT4jWl3HRxeLG70DttOXotY46_IBdcdKPmxYSGiLLA_AH10UNfI6yXY7JlH7o0sWadd6sNkxQsY6C026ro9EAyuA.SibzZhSHDw5bOUZvpiZYl8jyGOrYzEfOktkhCtb0cyA&amp;dib_tag=se&amp;keywords=sg90&amp;qid=1766352173&amp;sprefix=sg9%2Caps%2C248&amp;sr=8-1&amp;th=1" TargetMode="External"/><Relationship Id="rId2" Type="http://schemas.openxmlformats.org/officeDocument/2006/relationships/hyperlink" Target="http://www.ee.ic.ac.uk/pcheung/teaching/DE1_EE/stores/sg90_datasheet.pdf" TargetMode="External"/><Relationship Id="rId3" Type="http://schemas.openxmlformats.org/officeDocument/2006/relationships/hyperlink" Target="https://www.amazon.com/LAFVIN-Board-ATmega328P-Micro-Controller-Arduino/dp/B07G99NNXL?crid=34SSGUTY1U21F&amp;dib=eyJ2IjoiMSJ9.DuUAPNKOZx3V-ph33HzyN3TVa4f1jG2BDdr1cCnXe_OaFBWyj87yD1BSSPDHKJ2BoJevH-WXBKWkrv2uR2ngMvM0vDv2hDzQcDmhzVChPr8CEn6e_lUDJUV0Dfpk_GVJNznZJ-gh9fLcdZCJBbVbeci-lKGSiPaON9TOL710iheyGAgQUaVn_6q1jMaO5okAbb6wYb5l_a7dXjzPA4YF_Hp1AzM5aZmrMN50wzrrfHljFrAivpFtCsrN1OQ5Zb0meDWtOcTuZGYO_NUIF8UrK1yIECnw7QYiQhoKICH07YU.jYprkRiMtBUcDfC7JsY4QZc15dNsDM51nJdQKA2MoPk&amp;dib_tag=se&amp;keywords=arduino+nano&amp;qid=1766349147&amp;s=electronics&amp;sprefix=ardunio+nan%2Celectronics%2C220&amp;sr=1-3" TargetMode="External"/><Relationship Id="rId4" Type="http://schemas.openxmlformats.org/officeDocument/2006/relationships/hyperlink" Target="https://docs.arduino.cc/resources/datasheets/A000005-datasheet.pdf" TargetMode="External"/><Relationship Id="rId9" Type="http://schemas.openxmlformats.org/officeDocument/2006/relationships/hyperlink" Target="https://www.amazon.com/Amazon-Basics-Performance-All-Purpose-Batteries/dp/B0774D64LT?crid=3S8Z0KVSJR54P&amp;dib=eyJ2IjoiMSJ9.fzGNkVrSG9RHtJLbMGPpY7slutIxw_eihsqoG23qhxUG5wY2C_hXLq0UV83evcYMpQtn75f4V_r2XYklMso87594gmTwxx5RCLrKdFpeVlnAk4_huFnPJzrqo6g6Vmcbek8PaMgGzRucZjqAqg6z9HZIWUceK21cAUEdHojv01E1yXG40Ev25PGAHwAbrjKxWm3kFc0l2y6JaPZjvKq4M2SGtXqCdj7F0o5rxbshdcJ4DYmzIrkKVKJNXwzQtRWYIXGytPwIwZpAj-nB05KLNobC7Bdi7su2HwJE8TnoULs.e0phUdEXslKaR_U4kNSYreWHZZCayaozBUs9EAnl5HQ&amp;dib_tag=se&amp;keywords=9v+battery&amp;qid=1766350494&amp;rdc=1&amp;s=electronics&amp;sprefix=9v+battery+h%2Celectronics%2C226&amp;sr=1-3" TargetMode="External"/><Relationship Id="rId5" Type="http://schemas.openxmlformats.org/officeDocument/2006/relationships/hyperlink" Target="https://www.amazon.com/WWZMDiB-Obstacle-Avoidance-Sensor-Module/dp/B0B74QJV8H?crid=3RRJ2VDPAFFFA&amp;dib=eyJ2IjoiMSJ9.-UioW0oU8I8NyFxJ2kRnmUEdUf3oOugEZpeSMJz_z4FaUWvHTbGW7RHh3wdqvbxdY57T5guAl0X5opREUu0LX2ggEg-EpYZo5KTMk7HLNWR12W524Z3d9BMxneNHzEk0v_mjwLgavwd3AETS4wnRhbRw7wZcFMfl0G0UGMIUPa8w_12YUGU32M_v0zvpp3mtkk0G7xu9qyXXiZuWbmw9OWhi9EZF2orGmHQuxKbuzEQSAzDIyyqIs4L5M6uWlLfjQ9XqgYnx3_JIA0zzQxSSd1l8DGxGcWaAkMqF3VXnwzA.j2RGnrmIz0oWHAzdvaK6TU7uCd270rCKRXFbL_A-SYc&amp;dib_tag=se&amp;keywords=arduino+ir+sensors&amp;qid=1766349223&amp;s=electronics&amp;sprefix=arduino+ir+senso%2Celectronics%2C232&amp;sr=1-1" TargetMode="External"/><Relationship Id="rId6" Type="http://schemas.openxmlformats.org/officeDocument/2006/relationships/hyperlink" Target="https://www.handsontec.com/dataspecs/sensor/IR%20Obstacle%20Detector.pdf" TargetMode="External"/><Relationship Id="rId7" Type="http://schemas.openxmlformats.org/officeDocument/2006/relationships/hyperlink" Target="https://www.amazon.com/Adhesive-Thickness-Super-Sticky-Rectangle-Waterproof/dp/B0CZL272TN?crid=1LX7V2V8IAJZS&amp;dib=eyJ2IjoiMSJ9.GYhSo9vnJezSnmZdZyvGTtDEaDwKQdN0nvjb1hjan8j_QiYE6qFoAE9KkCuABmhJtND2lBzbRMiPtOIqxpfvl6DVL-nvYQcluCJYntFhxzKC1uIyewMS9wCOBVDf-1r6RCPutBXmbWUlbKomI8qFUCnlz1aVwxdtSc5arOWOBoaPJGULVDEKyGB0xgDELUjnuslbHkz9-27VEmsw08ug_SeNBm5Bl2QmYklGnuNDyzLGLowHRi9MUYPHiBgIklv0Lig3VOcPxrmRKRUfGKd60lh_aJ10pcPSF4dbMfMIRgw.K-JugxlSEX5UTlXYaGs29tYBtTqDZ5bws5M4vu_tftQ&amp;dib_tag=se&amp;keywords=double%2Bsided%2Bmounting%2Btape&amp;qid=1766349637&amp;sprefix=double%2Bsided%2Bmounting%2Bta%2Caps%2C234&amp;sr=8-3&amp;th=1" TargetMode="External"/><Relationship Id="rId8" Type="http://schemas.openxmlformats.org/officeDocument/2006/relationships/hyperlink" Target="https://www.amazon.com/Battery-Connector-Plastic-Experiment-Equipment/dp/B08SL9X2YC?crid=2GKGX81A4RNZ6&amp;dib=eyJ2IjoiMSJ9.zRXEgi4yWfomn6nK7Ij-DHjfzVrBPfZeag2zrKquIjJ_OnMRHVf6lnNc6u74sdYD0nXVXBPJvhHhuC4IWtkg8qJzE-8-xlUK3QAPE_kPcEjlAbR9wLfx6E84TH1aPsHDXhL3neBr_54zuNCCNq32AQ7VcHsoQvy9p9C9MLJkReoPVVltQVFSwIxjzTAzq5roUoimoS0G_KB1uYfSGUKUlaGOPo_HsEGQlHN8llkb4Ct6hTmmtoJjFSYb69wk82FFgI1e-0apgtKJKaIgD-Gnk9YO2CvRf7szFOTmCW4o3TQ.cT9BoshhSdTJ2CW7joGoT0ejfCwVBG5MuP_AUKM9q0I&amp;dib_tag=se&amp;keywords=9v%2Bbattery%2Bholder&amp;qid=1766350423&amp;s=electronics&amp;sprefix=9v%2Bbattery%2Bholder%2Celectronics%2C211&amp;sr=1-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1.75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H1" s="1" t="s">
        <v>4</v>
      </c>
      <c r="I1" s="1" t="s">
        <v>5</v>
      </c>
    </row>
    <row r="2">
      <c r="A2" s="2" t="s">
        <v>6</v>
      </c>
      <c r="C2" s="2" t="s">
        <v>7</v>
      </c>
      <c r="E2" s="3">
        <f t="shared" ref="E2:E10" si="1">TODAY()</f>
        <v>46012</v>
      </c>
      <c r="G2" s="1">
        <v>1.0</v>
      </c>
      <c r="H2" s="4">
        <f>7.49/4</f>
        <v>1.8725</v>
      </c>
      <c r="I2" s="5">
        <f t="shared" ref="I2:I10" si="2">H2*G2</f>
        <v>1.8725</v>
      </c>
    </row>
    <row r="3">
      <c r="A3" s="2" t="s">
        <v>8</v>
      </c>
      <c r="C3" s="2" t="s">
        <v>7</v>
      </c>
      <c r="E3" s="3">
        <f t="shared" si="1"/>
        <v>46012</v>
      </c>
      <c r="G3" s="1">
        <v>1.0</v>
      </c>
      <c r="H3" s="4">
        <f>15.99/3</f>
        <v>5.33</v>
      </c>
      <c r="I3" s="5">
        <f t="shared" si="2"/>
        <v>5.33</v>
      </c>
    </row>
    <row r="4">
      <c r="A4" s="2" t="s">
        <v>9</v>
      </c>
      <c r="C4" s="2" t="s">
        <v>7</v>
      </c>
      <c r="E4" s="3">
        <f t="shared" si="1"/>
        <v>46012</v>
      </c>
      <c r="G4" s="1">
        <v>1.0</v>
      </c>
      <c r="H4" s="4">
        <f>6.99/6</f>
        <v>1.165</v>
      </c>
      <c r="I4" s="5">
        <f t="shared" si="2"/>
        <v>1.165</v>
      </c>
    </row>
    <row r="5">
      <c r="A5" s="2" t="s">
        <v>10</v>
      </c>
      <c r="C5" s="6" t="s">
        <v>11</v>
      </c>
      <c r="E5" s="3">
        <f t="shared" si="1"/>
        <v>46012</v>
      </c>
      <c r="G5" s="1">
        <v>4.0</v>
      </c>
      <c r="H5" s="4">
        <f>6.39/48</f>
        <v>0.133125</v>
      </c>
      <c r="I5" s="5">
        <f t="shared" si="2"/>
        <v>0.5325</v>
      </c>
    </row>
    <row r="6">
      <c r="A6" s="2" t="s">
        <v>12</v>
      </c>
      <c r="C6" s="6" t="s">
        <v>11</v>
      </c>
      <c r="E6" s="3">
        <f t="shared" si="1"/>
        <v>46012</v>
      </c>
      <c r="G6" s="1">
        <v>1.0</v>
      </c>
      <c r="H6" s="4">
        <f>4.99/10</f>
        <v>0.499</v>
      </c>
      <c r="I6" s="5">
        <f t="shared" si="2"/>
        <v>0.499</v>
      </c>
    </row>
    <row r="7">
      <c r="A7" s="2" t="s">
        <v>13</v>
      </c>
      <c r="C7" s="6" t="s">
        <v>11</v>
      </c>
      <c r="E7" s="3">
        <f t="shared" si="1"/>
        <v>46012</v>
      </c>
      <c r="G7" s="1">
        <v>1.0</v>
      </c>
      <c r="H7" s="4">
        <f>9.79/4</f>
        <v>2.4475</v>
      </c>
      <c r="I7" s="5">
        <f t="shared" si="2"/>
        <v>2.4475</v>
      </c>
    </row>
    <row r="8">
      <c r="A8" s="2" t="s">
        <v>14</v>
      </c>
      <c r="C8" s="6" t="s">
        <v>11</v>
      </c>
      <c r="E8" s="3">
        <f t="shared" si="1"/>
        <v>46012</v>
      </c>
      <c r="G8" s="1">
        <v>3.0</v>
      </c>
      <c r="H8" s="5">
        <f>0.21</f>
        <v>0.21</v>
      </c>
      <c r="I8" s="5">
        <f t="shared" si="2"/>
        <v>0.63</v>
      </c>
    </row>
    <row r="9">
      <c r="A9" s="2" t="s">
        <v>15</v>
      </c>
      <c r="C9" s="1" t="s">
        <v>11</v>
      </c>
      <c r="E9" s="3">
        <f t="shared" si="1"/>
        <v>46012</v>
      </c>
      <c r="G9" s="1">
        <v>4.0</v>
      </c>
      <c r="H9" s="5">
        <f>7.98/1065</f>
        <v>0.007492957746</v>
      </c>
      <c r="I9" s="5">
        <f t="shared" si="2"/>
        <v>0.02997183099</v>
      </c>
    </row>
    <row r="10">
      <c r="A10" s="2" t="s">
        <v>16</v>
      </c>
      <c r="C10" s="1" t="s">
        <v>11</v>
      </c>
      <c r="E10" s="3">
        <f t="shared" si="1"/>
        <v>46012</v>
      </c>
      <c r="G10" s="1">
        <v>1.0</v>
      </c>
      <c r="H10" s="5">
        <f>7.99/600</f>
        <v>0.01331666667</v>
      </c>
      <c r="I10" s="5">
        <f t="shared" si="2"/>
        <v>0.01331666667</v>
      </c>
    </row>
    <row r="11">
      <c r="H11" s="1" t="s">
        <v>17</v>
      </c>
      <c r="I11" s="5">
        <f>SUM(I2:I8)</f>
        <v>12.4765</v>
      </c>
    </row>
  </sheetData>
  <mergeCells count="3000">
    <mergeCell ref="C12:D12"/>
    <mergeCell ref="E12:F12"/>
    <mergeCell ref="A10:B10"/>
    <mergeCell ref="C10:D10"/>
    <mergeCell ref="A11:B11"/>
    <mergeCell ref="C11:D11"/>
    <mergeCell ref="E11:F11"/>
    <mergeCell ref="A12:B12"/>
    <mergeCell ref="E10:F10"/>
    <mergeCell ref="C15:D15"/>
    <mergeCell ref="E15:F15"/>
    <mergeCell ref="A13:B13"/>
    <mergeCell ref="C13:D13"/>
    <mergeCell ref="E13:F13"/>
    <mergeCell ref="A14:B14"/>
    <mergeCell ref="C14:D14"/>
    <mergeCell ref="E14:F14"/>
    <mergeCell ref="A15:B15"/>
    <mergeCell ref="C18:D18"/>
    <mergeCell ref="E18:F18"/>
    <mergeCell ref="A16:B16"/>
    <mergeCell ref="C16:D16"/>
    <mergeCell ref="E16:F16"/>
    <mergeCell ref="A17:B17"/>
    <mergeCell ref="C17:D17"/>
    <mergeCell ref="E17:F17"/>
    <mergeCell ref="A18:B18"/>
    <mergeCell ref="C21:D21"/>
    <mergeCell ref="E21:F21"/>
    <mergeCell ref="A19:B19"/>
    <mergeCell ref="C19:D19"/>
    <mergeCell ref="E19:F19"/>
    <mergeCell ref="A20:B20"/>
    <mergeCell ref="C20:D20"/>
    <mergeCell ref="E20:F20"/>
    <mergeCell ref="A21:B21"/>
    <mergeCell ref="C24:D24"/>
    <mergeCell ref="E24:F24"/>
    <mergeCell ref="A22:B22"/>
    <mergeCell ref="C22:D22"/>
    <mergeCell ref="E22:F22"/>
    <mergeCell ref="A23:B23"/>
    <mergeCell ref="C23:D23"/>
    <mergeCell ref="E23:F23"/>
    <mergeCell ref="A24:B24"/>
    <mergeCell ref="C27:D27"/>
    <mergeCell ref="E27:F27"/>
    <mergeCell ref="A25:B25"/>
    <mergeCell ref="C25:D25"/>
    <mergeCell ref="E25:F25"/>
    <mergeCell ref="A26:B26"/>
    <mergeCell ref="C26:D26"/>
    <mergeCell ref="E26:F26"/>
    <mergeCell ref="A27:B27"/>
    <mergeCell ref="C30:D30"/>
    <mergeCell ref="E30:F30"/>
    <mergeCell ref="A28:B28"/>
    <mergeCell ref="C28:D28"/>
    <mergeCell ref="E28:F28"/>
    <mergeCell ref="A29:B29"/>
    <mergeCell ref="C29:D29"/>
    <mergeCell ref="E29:F29"/>
    <mergeCell ref="A30:B30"/>
    <mergeCell ref="C33:D33"/>
    <mergeCell ref="E33:F33"/>
    <mergeCell ref="A31:B31"/>
    <mergeCell ref="C31:D31"/>
    <mergeCell ref="E31:F31"/>
    <mergeCell ref="A32:B32"/>
    <mergeCell ref="C32:D32"/>
    <mergeCell ref="E32:F32"/>
    <mergeCell ref="A33:B33"/>
    <mergeCell ref="C36:D36"/>
    <mergeCell ref="E36:F36"/>
    <mergeCell ref="A34:B34"/>
    <mergeCell ref="C34:D34"/>
    <mergeCell ref="E34:F34"/>
    <mergeCell ref="A35:B35"/>
    <mergeCell ref="C35:D35"/>
    <mergeCell ref="E35:F35"/>
    <mergeCell ref="A36:B36"/>
    <mergeCell ref="C39:D39"/>
    <mergeCell ref="E39:F39"/>
    <mergeCell ref="A37:B37"/>
    <mergeCell ref="C37:D37"/>
    <mergeCell ref="E37:F37"/>
    <mergeCell ref="A38:B38"/>
    <mergeCell ref="C38:D38"/>
    <mergeCell ref="E38:F38"/>
    <mergeCell ref="A39:B39"/>
    <mergeCell ref="C42:D42"/>
    <mergeCell ref="E42:F42"/>
    <mergeCell ref="A40:B40"/>
    <mergeCell ref="C40:D40"/>
    <mergeCell ref="E40:F40"/>
    <mergeCell ref="A41:B41"/>
    <mergeCell ref="C41:D41"/>
    <mergeCell ref="E41:F41"/>
    <mergeCell ref="A42:B42"/>
    <mergeCell ref="C45:D45"/>
    <mergeCell ref="E45:F45"/>
    <mergeCell ref="A43:B43"/>
    <mergeCell ref="C43:D43"/>
    <mergeCell ref="E43:F43"/>
    <mergeCell ref="A44:B44"/>
    <mergeCell ref="C44:D44"/>
    <mergeCell ref="E44:F44"/>
    <mergeCell ref="A45:B45"/>
    <mergeCell ref="C48:D48"/>
    <mergeCell ref="E48:F48"/>
    <mergeCell ref="A46:B46"/>
    <mergeCell ref="C46:D46"/>
    <mergeCell ref="E46:F46"/>
    <mergeCell ref="A47:B47"/>
    <mergeCell ref="C47:D47"/>
    <mergeCell ref="E47:F47"/>
    <mergeCell ref="A48:B48"/>
    <mergeCell ref="C51:D51"/>
    <mergeCell ref="E51:F51"/>
    <mergeCell ref="A49:B49"/>
    <mergeCell ref="C49:D49"/>
    <mergeCell ref="E49:F49"/>
    <mergeCell ref="A50:B50"/>
    <mergeCell ref="C50:D50"/>
    <mergeCell ref="E50:F50"/>
    <mergeCell ref="A51:B51"/>
    <mergeCell ref="C54:D54"/>
    <mergeCell ref="E54:F54"/>
    <mergeCell ref="A52:B52"/>
    <mergeCell ref="C52:D52"/>
    <mergeCell ref="E52:F52"/>
    <mergeCell ref="A53:B53"/>
    <mergeCell ref="C53:D53"/>
    <mergeCell ref="E53:F53"/>
    <mergeCell ref="A54:B54"/>
    <mergeCell ref="C57:D57"/>
    <mergeCell ref="E57:F57"/>
    <mergeCell ref="A55:B55"/>
    <mergeCell ref="C55:D55"/>
    <mergeCell ref="E55:F55"/>
    <mergeCell ref="A56:B56"/>
    <mergeCell ref="C56:D56"/>
    <mergeCell ref="E56:F56"/>
    <mergeCell ref="A57:B57"/>
    <mergeCell ref="C60:D60"/>
    <mergeCell ref="E60:F60"/>
    <mergeCell ref="A58:B58"/>
    <mergeCell ref="C58:D58"/>
    <mergeCell ref="E58:F58"/>
    <mergeCell ref="A59:B59"/>
    <mergeCell ref="C59:D59"/>
    <mergeCell ref="E59:F59"/>
    <mergeCell ref="A60:B60"/>
    <mergeCell ref="C63:D63"/>
    <mergeCell ref="E63:F63"/>
    <mergeCell ref="A61:B61"/>
    <mergeCell ref="C61:D61"/>
    <mergeCell ref="E61:F61"/>
    <mergeCell ref="A62:B62"/>
    <mergeCell ref="C62:D62"/>
    <mergeCell ref="E62:F62"/>
    <mergeCell ref="A63:B63"/>
    <mergeCell ref="C66:D66"/>
    <mergeCell ref="E66:F66"/>
    <mergeCell ref="A64:B64"/>
    <mergeCell ref="C64:D64"/>
    <mergeCell ref="E64:F64"/>
    <mergeCell ref="A65:B65"/>
    <mergeCell ref="C65:D65"/>
    <mergeCell ref="E65:F65"/>
    <mergeCell ref="A66:B66"/>
    <mergeCell ref="C69:D69"/>
    <mergeCell ref="E69:F69"/>
    <mergeCell ref="A67:B67"/>
    <mergeCell ref="C67:D67"/>
    <mergeCell ref="E67:F67"/>
    <mergeCell ref="A68:B68"/>
    <mergeCell ref="C68:D68"/>
    <mergeCell ref="E68:F68"/>
    <mergeCell ref="A69:B69"/>
    <mergeCell ref="C72:D72"/>
    <mergeCell ref="E72:F72"/>
    <mergeCell ref="A70:B70"/>
    <mergeCell ref="C70:D70"/>
    <mergeCell ref="E70:F70"/>
    <mergeCell ref="A71:B71"/>
    <mergeCell ref="C71:D71"/>
    <mergeCell ref="E71:F71"/>
    <mergeCell ref="A72:B72"/>
    <mergeCell ref="C75:D75"/>
    <mergeCell ref="E75:F75"/>
    <mergeCell ref="A73:B73"/>
    <mergeCell ref="C73:D73"/>
    <mergeCell ref="E73:F73"/>
    <mergeCell ref="A74:B74"/>
    <mergeCell ref="C74:D74"/>
    <mergeCell ref="E74:F74"/>
    <mergeCell ref="A75:B75"/>
    <mergeCell ref="C78:D78"/>
    <mergeCell ref="E78:F78"/>
    <mergeCell ref="A76:B76"/>
    <mergeCell ref="C76:D76"/>
    <mergeCell ref="E76:F76"/>
    <mergeCell ref="A77:B77"/>
    <mergeCell ref="C77:D77"/>
    <mergeCell ref="E77:F77"/>
    <mergeCell ref="A78:B78"/>
    <mergeCell ref="C81:D81"/>
    <mergeCell ref="E81:F81"/>
    <mergeCell ref="A79:B79"/>
    <mergeCell ref="C79:D79"/>
    <mergeCell ref="E79:F79"/>
    <mergeCell ref="A80:B80"/>
    <mergeCell ref="C80:D80"/>
    <mergeCell ref="E80:F80"/>
    <mergeCell ref="A81:B81"/>
    <mergeCell ref="C84:D84"/>
    <mergeCell ref="E84:F84"/>
    <mergeCell ref="A82:B82"/>
    <mergeCell ref="C82:D82"/>
    <mergeCell ref="E82:F82"/>
    <mergeCell ref="A83:B83"/>
    <mergeCell ref="C83:D83"/>
    <mergeCell ref="E83:F83"/>
    <mergeCell ref="A84:B84"/>
    <mergeCell ref="C87:D87"/>
    <mergeCell ref="E87:F87"/>
    <mergeCell ref="A85:B85"/>
    <mergeCell ref="C85:D85"/>
    <mergeCell ref="E85:F85"/>
    <mergeCell ref="A86:B86"/>
    <mergeCell ref="C86:D86"/>
    <mergeCell ref="E86:F86"/>
    <mergeCell ref="A87:B87"/>
    <mergeCell ref="C90:D90"/>
    <mergeCell ref="E90:F90"/>
    <mergeCell ref="A88:B88"/>
    <mergeCell ref="C88:D88"/>
    <mergeCell ref="E88:F88"/>
    <mergeCell ref="A89:B89"/>
    <mergeCell ref="C89:D89"/>
    <mergeCell ref="E89:F89"/>
    <mergeCell ref="A90:B90"/>
    <mergeCell ref="C93:D93"/>
    <mergeCell ref="E93:F93"/>
    <mergeCell ref="A91:B91"/>
    <mergeCell ref="C91:D91"/>
    <mergeCell ref="E91:F91"/>
    <mergeCell ref="A92:B92"/>
    <mergeCell ref="C92:D92"/>
    <mergeCell ref="E92:F92"/>
    <mergeCell ref="A93:B93"/>
    <mergeCell ref="C96:D96"/>
    <mergeCell ref="E96:F96"/>
    <mergeCell ref="A94:B94"/>
    <mergeCell ref="C94:D94"/>
    <mergeCell ref="E94:F94"/>
    <mergeCell ref="A95:B95"/>
    <mergeCell ref="C95:D95"/>
    <mergeCell ref="E95:F95"/>
    <mergeCell ref="A96:B96"/>
    <mergeCell ref="C99:D99"/>
    <mergeCell ref="E99:F99"/>
    <mergeCell ref="A97:B97"/>
    <mergeCell ref="C97:D97"/>
    <mergeCell ref="E97:F97"/>
    <mergeCell ref="A98:B98"/>
    <mergeCell ref="C98:D98"/>
    <mergeCell ref="E98:F98"/>
    <mergeCell ref="A99:B99"/>
    <mergeCell ref="C102:D102"/>
    <mergeCell ref="E102:F102"/>
    <mergeCell ref="A100:B100"/>
    <mergeCell ref="C100:D100"/>
    <mergeCell ref="E100:F100"/>
    <mergeCell ref="A101:B101"/>
    <mergeCell ref="C101:D101"/>
    <mergeCell ref="E101:F101"/>
    <mergeCell ref="A102:B102"/>
    <mergeCell ref="C105:D105"/>
    <mergeCell ref="E105:F105"/>
    <mergeCell ref="A103:B103"/>
    <mergeCell ref="C103:D103"/>
    <mergeCell ref="E103:F103"/>
    <mergeCell ref="A104:B104"/>
    <mergeCell ref="C104:D104"/>
    <mergeCell ref="E104:F104"/>
    <mergeCell ref="A105:B105"/>
    <mergeCell ref="C108:D108"/>
    <mergeCell ref="E108:F108"/>
    <mergeCell ref="A106:B106"/>
    <mergeCell ref="C106:D106"/>
    <mergeCell ref="E106:F106"/>
    <mergeCell ref="A107:B107"/>
    <mergeCell ref="C107:D107"/>
    <mergeCell ref="E107:F107"/>
    <mergeCell ref="A108:B108"/>
    <mergeCell ref="C111:D111"/>
    <mergeCell ref="E111:F111"/>
    <mergeCell ref="A109:B109"/>
    <mergeCell ref="C109:D109"/>
    <mergeCell ref="E109:F109"/>
    <mergeCell ref="A110:B110"/>
    <mergeCell ref="C110:D110"/>
    <mergeCell ref="E110:F110"/>
    <mergeCell ref="A111:B111"/>
    <mergeCell ref="C114:D114"/>
    <mergeCell ref="E114:F114"/>
    <mergeCell ref="A112:B112"/>
    <mergeCell ref="C112:D112"/>
    <mergeCell ref="E112:F112"/>
    <mergeCell ref="A113:B113"/>
    <mergeCell ref="C113:D113"/>
    <mergeCell ref="E113:F113"/>
    <mergeCell ref="A114:B114"/>
    <mergeCell ref="C117:D117"/>
    <mergeCell ref="E117:F117"/>
    <mergeCell ref="A115:B115"/>
    <mergeCell ref="C115:D115"/>
    <mergeCell ref="E115:F115"/>
    <mergeCell ref="A116:B116"/>
    <mergeCell ref="C116:D116"/>
    <mergeCell ref="E116:F116"/>
    <mergeCell ref="A117:B117"/>
    <mergeCell ref="C120:D120"/>
    <mergeCell ref="E120:F120"/>
    <mergeCell ref="A118:B118"/>
    <mergeCell ref="C118:D118"/>
    <mergeCell ref="E118:F118"/>
    <mergeCell ref="A119:B119"/>
    <mergeCell ref="C119:D119"/>
    <mergeCell ref="E119:F119"/>
    <mergeCell ref="A120:B120"/>
    <mergeCell ref="C123:D123"/>
    <mergeCell ref="E123:F123"/>
    <mergeCell ref="A121:B121"/>
    <mergeCell ref="C121:D121"/>
    <mergeCell ref="E121:F121"/>
    <mergeCell ref="A122:B122"/>
    <mergeCell ref="C122:D122"/>
    <mergeCell ref="E122:F122"/>
    <mergeCell ref="A123:B123"/>
    <mergeCell ref="C126:D126"/>
    <mergeCell ref="E126:F126"/>
    <mergeCell ref="A124:B124"/>
    <mergeCell ref="C124:D124"/>
    <mergeCell ref="E124:F124"/>
    <mergeCell ref="A125:B125"/>
    <mergeCell ref="C125:D125"/>
    <mergeCell ref="E125:F125"/>
    <mergeCell ref="A126:B126"/>
    <mergeCell ref="C129:D129"/>
    <mergeCell ref="E129:F129"/>
    <mergeCell ref="A127:B127"/>
    <mergeCell ref="C127:D127"/>
    <mergeCell ref="E127:F127"/>
    <mergeCell ref="A128:B128"/>
    <mergeCell ref="C128:D128"/>
    <mergeCell ref="E128:F128"/>
    <mergeCell ref="A129:B129"/>
    <mergeCell ref="C132:D132"/>
    <mergeCell ref="E132:F132"/>
    <mergeCell ref="A130:B130"/>
    <mergeCell ref="C130:D130"/>
    <mergeCell ref="E130:F130"/>
    <mergeCell ref="A131:B131"/>
    <mergeCell ref="C131:D131"/>
    <mergeCell ref="E131:F131"/>
    <mergeCell ref="A132:B132"/>
    <mergeCell ref="C135:D135"/>
    <mergeCell ref="E135:F135"/>
    <mergeCell ref="A133:B133"/>
    <mergeCell ref="C133:D133"/>
    <mergeCell ref="E133:F133"/>
    <mergeCell ref="A134:B134"/>
    <mergeCell ref="C134:D134"/>
    <mergeCell ref="E134:F134"/>
    <mergeCell ref="A135:B135"/>
    <mergeCell ref="C138:D138"/>
    <mergeCell ref="E138:F138"/>
    <mergeCell ref="A136:B136"/>
    <mergeCell ref="C136:D136"/>
    <mergeCell ref="E136:F136"/>
    <mergeCell ref="A137:B137"/>
    <mergeCell ref="C137:D137"/>
    <mergeCell ref="E137:F137"/>
    <mergeCell ref="A138:B138"/>
    <mergeCell ref="C141:D141"/>
    <mergeCell ref="E141:F141"/>
    <mergeCell ref="A139:B139"/>
    <mergeCell ref="C139:D139"/>
    <mergeCell ref="E139:F139"/>
    <mergeCell ref="A140:B140"/>
    <mergeCell ref="C140:D140"/>
    <mergeCell ref="E140:F140"/>
    <mergeCell ref="A141:B141"/>
    <mergeCell ref="C144:D144"/>
    <mergeCell ref="E144:F144"/>
    <mergeCell ref="A142:B142"/>
    <mergeCell ref="C142:D142"/>
    <mergeCell ref="E142:F142"/>
    <mergeCell ref="A143:B143"/>
    <mergeCell ref="C143:D143"/>
    <mergeCell ref="E143:F143"/>
    <mergeCell ref="A144:B144"/>
    <mergeCell ref="C147:D147"/>
    <mergeCell ref="E147:F147"/>
    <mergeCell ref="A145:B145"/>
    <mergeCell ref="C145:D145"/>
    <mergeCell ref="E145:F145"/>
    <mergeCell ref="A146:B146"/>
    <mergeCell ref="C146:D146"/>
    <mergeCell ref="E146:F146"/>
    <mergeCell ref="A147:B147"/>
    <mergeCell ref="C150:D150"/>
    <mergeCell ref="E150:F150"/>
    <mergeCell ref="A148:B148"/>
    <mergeCell ref="C148:D148"/>
    <mergeCell ref="E148:F148"/>
    <mergeCell ref="A149:B149"/>
    <mergeCell ref="C149:D149"/>
    <mergeCell ref="E149:F149"/>
    <mergeCell ref="A150:B150"/>
    <mergeCell ref="C153:D153"/>
    <mergeCell ref="E153:F153"/>
    <mergeCell ref="A151:B151"/>
    <mergeCell ref="C151:D151"/>
    <mergeCell ref="E151:F151"/>
    <mergeCell ref="A152:B152"/>
    <mergeCell ref="C152:D152"/>
    <mergeCell ref="E152:F152"/>
    <mergeCell ref="A153:B153"/>
    <mergeCell ref="C156:D156"/>
    <mergeCell ref="E156:F156"/>
    <mergeCell ref="A154:B154"/>
    <mergeCell ref="C154:D154"/>
    <mergeCell ref="E154:F154"/>
    <mergeCell ref="A155:B155"/>
    <mergeCell ref="C155:D155"/>
    <mergeCell ref="E155:F155"/>
    <mergeCell ref="A156:B156"/>
    <mergeCell ref="C159:D159"/>
    <mergeCell ref="E159:F159"/>
    <mergeCell ref="A157:B157"/>
    <mergeCell ref="C157:D157"/>
    <mergeCell ref="E157:F157"/>
    <mergeCell ref="A158:B158"/>
    <mergeCell ref="C158:D158"/>
    <mergeCell ref="E158:F158"/>
    <mergeCell ref="A159:B159"/>
    <mergeCell ref="C162:D162"/>
    <mergeCell ref="E162:F162"/>
    <mergeCell ref="A160:B160"/>
    <mergeCell ref="C160:D160"/>
    <mergeCell ref="E160:F160"/>
    <mergeCell ref="A161:B161"/>
    <mergeCell ref="C161:D161"/>
    <mergeCell ref="E161:F161"/>
    <mergeCell ref="A162:B162"/>
    <mergeCell ref="C165:D165"/>
    <mergeCell ref="E165:F165"/>
    <mergeCell ref="A163:B163"/>
    <mergeCell ref="C163:D163"/>
    <mergeCell ref="E163:F163"/>
    <mergeCell ref="A164:B164"/>
    <mergeCell ref="C164:D164"/>
    <mergeCell ref="E164:F164"/>
    <mergeCell ref="A165:B165"/>
    <mergeCell ref="C168:D168"/>
    <mergeCell ref="E168:F168"/>
    <mergeCell ref="A166:B166"/>
    <mergeCell ref="C166:D166"/>
    <mergeCell ref="E166:F166"/>
    <mergeCell ref="A167:B167"/>
    <mergeCell ref="C167:D167"/>
    <mergeCell ref="E167:F167"/>
    <mergeCell ref="A168:B168"/>
    <mergeCell ref="C171:D171"/>
    <mergeCell ref="E171:F171"/>
    <mergeCell ref="A169:B169"/>
    <mergeCell ref="C169:D169"/>
    <mergeCell ref="E169:F169"/>
    <mergeCell ref="A170:B170"/>
    <mergeCell ref="C170:D170"/>
    <mergeCell ref="E170:F170"/>
    <mergeCell ref="A171:B171"/>
    <mergeCell ref="C174:D174"/>
    <mergeCell ref="E174:F174"/>
    <mergeCell ref="A172:B172"/>
    <mergeCell ref="C172:D172"/>
    <mergeCell ref="E172:F172"/>
    <mergeCell ref="A173:B173"/>
    <mergeCell ref="C173:D173"/>
    <mergeCell ref="E173:F173"/>
    <mergeCell ref="A174:B174"/>
    <mergeCell ref="C177:D177"/>
    <mergeCell ref="E177:F177"/>
    <mergeCell ref="A175:B175"/>
    <mergeCell ref="C175:D175"/>
    <mergeCell ref="E175:F175"/>
    <mergeCell ref="A176:B176"/>
    <mergeCell ref="C176:D176"/>
    <mergeCell ref="E176:F176"/>
    <mergeCell ref="A177:B177"/>
    <mergeCell ref="C180:D180"/>
    <mergeCell ref="E180:F180"/>
    <mergeCell ref="A178:B178"/>
    <mergeCell ref="C178:D178"/>
    <mergeCell ref="E178:F178"/>
    <mergeCell ref="A179:B179"/>
    <mergeCell ref="C179:D179"/>
    <mergeCell ref="E179:F179"/>
    <mergeCell ref="A180:B180"/>
    <mergeCell ref="C183:D183"/>
    <mergeCell ref="E183:F183"/>
    <mergeCell ref="A181:B181"/>
    <mergeCell ref="C181:D181"/>
    <mergeCell ref="E181:F181"/>
    <mergeCell ref="A182:B182"/>
    <mergeCell ref="C182:D182"/>
    <mergeCell ref="E182:F182"/>
    <mergeCell ref="A183:B183"/>
    <mergeCell ref="C186:D186"/>
    <mergeCell ref="E186:F186"/>
    <mergeCell ref="A184:B184"/>
    <mergeCell ref="C184:D184"/>
    <mergeCell ref="E184:F184"/>
    <mergeCell ref="A185:B185"/>
    <mergeCell ref="C185:D185"/>
    <mergeCell ref="E185:F185"/>
    <mergeCell ref="A186:B186"/>
    <mergeCell ref="C189:D189"/>
    <mergeCell ref="E189:F189"/>
    <mergeCell ref="A187:B187"/>
    <mergeCell ref="C187:D187"/>
    <mergeCell ref="E187:F187"/>
    <mergeCell ref="A188:B188"/>
    <mergeCell ref="C188:D188"/>
    <mergeCell ref="E188:F188"/>
    <mergeCell ref="A189:B189"/>
    <mergeCell ref="C192:D192"/>
    <mergeCell ref="E192:F192"/>
    <mergeCell ref="A190:B190"/>
    <mergeCell ref="C190:D190"/>
    <mergeCell ref="E190:F190"/>
    <mergeCell ref="A191:B191"/>
    <mergeCell ref="C191:D191"/>
    <mergeCell ref="E191:F191"/>
    <mergeCell ref="A192:B192"/>
    <mergeCell ref="C195:D195"/>
    <mergeCell ref="E195:F195"/>
    <mergeCell ref="A193:B193"/>
    <mergeCell ref="C193:D193"/>
    <mergeCell ref="E193:F193"/>
    <mergeCell ref="A194:B194"/>
    <mergeCell ref="C194:D194"/>
    <mergeCell ref="E194:F194"/>
    <mergeCell ref="A195:B195"/>
    <mergeCell ref="C198:D198"/>
    <mergeCell ref="E198:F198"/>
    <mergeCell ref="A196:B196"/>
    <mergeCell ref="C196:D196"/>
    <mergeCell ref="E196:F196"/>
    <mergeCell ref="A197:B197"/>
    <mergeCell ref="C197:D197"/>
    <mergeCell ref="E197:F197"/>
    <mergeCell ref="A198:B198"/>
    <mergeCell ref="C201:D201"/>
    <mergeCell ref="E201:F201"/>
    <mergeCell ref="A199:B199"/>
    <mergeCell ref="C199:D199"/>
    <mergeCell ref="E199:F199"/>
    <mergeCell ref="A200:B200"/>
    <mergeCell ref="C200:D200"/>
    <mergeCell ref="E200:F200"/>
    <mergeCell ref="A201:B201"/>
    <mergeCell ref="C204:D204"/>
    <mergeCell ref="E204:F204"/>
    <mergeCell ref="A202:B202"/>
    <mergeCell ref="C202:D202"/>
    <mergeCell ref="E202:F202"/>
    <mergeCell ref="A203:B203"/>
    <mergeCell ref="C203:D203"/>
    <mergeCell ref="E203:F203"/>
    <mergeCell ref="A204:B204"/>
    <mergeCell ref="C207:D207"/>
    <mergeCell ref="E207:F207"/>
    <mergeCell ref="A205:B205"/>
    <mergeCell ref="C205:D205"/>
    <mergeCell ref="E205:F205"/>
    <mergeCell ref="A206:B206"/>
    <mergeCell ref="C206:D206"/>
    <mergeCell ref="E206:F206"/>
    <mergeCell ref="A207:B207"/>
    <mergeCell ref="C210:D210"/>
    <mergeCell ref="E210:F210"/>
    <mergeCell ref="A208:B208"/>
    <mergeCell ref="C208:D208"/>
    <mergeCell ref="E208:F208"/>
    <mergeCell ref="A209:B209"/>
    <mergeCell ref="C209:D209"/>
    <mergeCell ref="E209:F209"/>
    <mergeCell ref="A210:B210"/>
    <mergeCell ref="C213:D213"/>
    <mergeCell ref="E213:F213"/>
    <mergeCell ref="A211:B211"/>
    <mergeCell ref="C211:D211"/>
    <mergeCell ref="E211:F211"/>
    <mergeCell ref="A212:B212"/>
    <mergeCell ref="C212:D212"/>
    <mergeCell ref="E212:F212"/>
    <mergeCell ref="A213:B213"/>
    <mergeCell ref="C216:D216"/>
    <mergeCell ref="E216:F216"/>
    <mergeCell ref="A214:B214"/>
    <mergeCell ref="C214:D214"/>
    <mergeCell ref="E214:F214"/>
    <mergeCell ref="A215:B215"/>
    <mergeCell ref="C215:D215"/>
    <mergeCell ref="E215:F215"/>
    <mergeCell ref="A216:B216"/>
    <mergeCell ref="C219:D219"/>
    <mergeCell ref="E219:F219"/>
    <mergeCell ref="A217:B217"/>
    <mergeCell ref="C217:D217"/>
    <mergeCell ref="E217:F217"/>
    <mergeCell ref="A218:B218"/>
    <mergeCell ref="C218:D218"/>
    <mergeCell ref="E218:F218"/>
    <mergeCell ref="A219:B219"/>
    <mergeCell ref="C222:D222"/>
    <mergeCell ref="E222:F222"/>
    <mergeCell ref="A220:B220"/>
    <mergeCell ref="C220:D220"/>
    <mergeCell ref="E220:F220"/>
    <mergeCell ref="A221:B221"/>
    <mergeCell ref="C221:D221"/>
    <mergeCell ref="E221:F221"/>
    <mergeCell ref="A222:B222"/>
    <mergeCell ref="C225:D225"/>
    <mergeCell ref="E225:F225"/>
    <mergeCell ref="A223:B223"/>
    <mergeCell ref="C223:D223"/>
    <mergeCell ref="E223:F223"/>
    <mergeCell ref="A224:B224"/>
    <mergeCell ref="C224:D224"/>
    <mergeCell ref="E224:F224"/>
    <mergeCell ref="A225:B225"/>
    <mergeCell ref="C228:D228"/>
    <mergeCell ref="E228:F228"/>
    <mergeCell ref="A226:B226"/>
    <mergeCell ref="C226:D226"/>
    <mergeCell ref="E226:F226"/>
    <mergeCell ref="A227:B227"/>
    <mergeCell ref="C227:D227"/>
    <mergeCell ref="E227:F227"/>
    <mergeCell ref="A228:B228"/>
    <mergeCell ref="C231:D231"/>
    <mergeCell ref="E231:F231"/>
    <mergeCell ref="A229:B229"/>
    <mergeCell ref="C229:D229"/>
    <mergeCell ref="E229:F229"/>
    <mergeCell ref="A230:B230"/>
    <mergeCell ref="C230:D230"/>
    <mergeCell ref="E230:F230"/>
    <mergeCell ref="A231:B231"/>
    <mergeCell ref="C234:D234"/>
    <mergeCell ref="E234:F234"/>
    <mergeCell ref="A232:B232"/>
    <mergeCell ref="C232:D232"/>
    <mergeCell ref="E232:F232"/>
    <mergeCell ref="A233:B233"/>
    <mergeCell ref="C233:D233"/>
    <mergeCell ref="E233:F233"/>
    <mergeCell ref="A234:B234"/>
    <mergeCell ref="C237:D237"/>
    <mergeCell ref="E237:F237"/>
    <mergeCell ref="A235:B235"/>
    <mergeCell ref="C235:D235"/>
    <mergeCell ref="E235:F235"/>
    <mergeCell ref="A236:B236"/>
    <mergeCell ref="C236:D236"/>
    <mergeCell ref="E236:F236"/>
    <mergeCell ref="A237:B237"/>
    <mergeCell ref="C240:D240"/>
    <mergeCell ref="E240:F240"/>
    <mergeCell ref="A238:B238"/>
    <mergeCell ref="C238:D238"/>
    <mergeCell ref="E238:F238"/>
    <mergeCell ref="A239:B239"/>
    <mergeCell ref="C239:D239"/>
    <mergeCell ref="E239:F239"/>
    <mergeCell ref="A240:B240"/>
    <mergeCell ref="C243:D243"/>
    <mergeCell ref="E243:F243"/>
    <mergeCell ref="A241:B241"/>
    <mergeCell ref="C241:D241"/>
    <mergeCell ref="E241:F241"/>
    <mergeCell ref="A242:B242"/>
    <mergeCell ref="C242:D242"/>
    <mergeCell ref="E242:F242"/>
    <mergeCell ref="A243:B243"/>
    <mergeCell ref="C246:D246"/>
    <mergeCell ref="E246:F246"/>
    <mergeCell ref="A244:B244"/>
    <mergeCell ref="C244:D244"/>
    <mergeCell ref="E244:F244"/>
    <mergeCell ref="A245:B245"/>
    <mergeCell ref="C245:D245"/>
    <mergeCell ref="E245:F245"/>
    <mergeCell ref="A246:B246"/>
    <mergeCell ref="C249:D249"/>
    <mergeCell ref="E249:F249"/>
    <mergeCell ref="A247:B247"/>
    <mergeCell ref="C247:D247"/>
    <mergeCell ref="E247:F247"/>
    <mergeCell ref="A248:B248"/>
    <mergeCell ref="C248:D248"/>
    <mergeCell ref="E248:F248"/>
    <mergeCell ref="A249:B249"/>
    <mergeCell ref="C252:D252"/>
    <mergeCell ref="E252:F252"/>
    <mergeCell ref="A250:B250"/>
    <mergeCell ref="C250:D250"/>
    <mergeCell ref="E250:F250"/>
    <mergeCell ref="A251:B251"/>
    <mergeCell ref="C251:D251"/>
    <mergeCell ref="E251:F251"/>
    <mergeCell ref="A252:B252"/>
    <mergeCell ref="C255:D255"/>
    <mergeCell ref="E255:F255"/>
    <mergeCell ref="A253:B253"/>
    <mergeCell ref="C253:D253"/>
    <mergeCell ref="E253:F253"/>
    <mergeCell ref="A254:B254"/>
    <mergeCell ref="C254:D254"/>
    <mergeCell ref="E254:F254"/>
    <mergeCell ref="A255:B255"/>
    <mergeCell ref="C258:D258"/>
    <mergeCell ref="E258:F258"/>
    <mergeCell ref="A256:B256"/>
    <mergeCell ref="C256:D256"/>
    <mergeCell ref="E256:F256"/>
    <mergeCell ref="A257:B257"/>
    <mergeCell ref="C257:D257"/>
    <mergeCell ref="E257:F257"/>
    <mergeCell ref="A258:B258"/>
    <mergeCell ref="C261:D261"/>
    <mergeCell ref="E261:F261"/>
    <mergeCell ref="A259:B259"/>
    <mergeCell ref="C259:D259"/>
    <mergeCell ref="E259:F259"/>
    <mergeCell ref="A260:B260"/>
    <mergeCell ref="C260:D260"/>
    <mergeCell ref="E260:F260"/>
    <mergeCell ref="A261:B261"/>
    <mergeCell ref="C264:D264"/>
    <mergeCell ref="E264:F264"/>
    <mergeCell ref="A262:B262"/>
    <mergeCell ref="C262:D262"/>
    <mergeCell ref="E262:F262"/>
    <mergeCell ref="A263:B263"/>
    <mergeCell ref="C263:D263"/>
    <mergeCell ref="E263:F263"/>
    <mergeCell ref="A264:B264"/>
    <mergeCell ref="C267:D267"/>
    <mergeCell ref="E267:F267"/>
    <mergeCell ref="A265:B265"/>
    <mergeCell ref="C265:D265"/>
    <mergeCell ref="E265:F265"/>
    <mergeCell ref="A266:B266"/>
    <mergeCell ref="C266:D266"/>
    <mergeCell ref="E266:F266"/>
    <mergeCell ref="A267:B267"/>
    <mergeCell ref="C270:D270"/>
    <mergeCell ref="E270:F270"/>
    <mergeCell ref="A268:B268"/>
    <mergeCell ref="C268:D268"/>
    <mergeCell ref="E268:F268"/>
    <mergeCell ref="A269:B269"/>
    <mergeCell ref="C269:D269"/>
    <mergeCell ref="E269:F269"/>
    <mergeCell ref="A270:B270"/>
    <mergeCell ref="C273:D273"/>
    <mergeCell ref="E273:F273"/>
    <mergeCell ref="A271:B271"/>
    <mergeCell ref="C271:D271"/>
    <mergeCell ref="E271:F271"/>
    <mergeCell ref="A272:B272"/>
    <mergeCell ref="C272:D272"/>
    <mergeCell ref="E272:F272"/>
    <mergeCell ref="A273:B273"/>
    <mergeCell ref="C276:D276"/>
    <mergeCell ref="E276:F276"/>
    <mergeCell ref="A274:B274"/>
    <mergeCell ref="C274:D274"/>
    <mergeCell ref="E274:F274"/>
    <mergeCell ref="A275:B275"/>
    <mergeCell ref="C275:D275"/>
    <mergeCell ref="E275:F275"/>
    <mergeCell ref="A276:B276"/>
    <mergeCell ref="C279:D279"/>
    <mergeCell ref="E279:F279"/>
    <mergeCell ref="A277:B277"/>
    <mergeCell ref="C277:D277"/>
    <mergeCell ref="E277:F277"/>
    <mergeCell ref="A278:B278"/>
    <mergeCell ref="C278:D278"/>
    <mergeCell ref="E278:F278"/>
    <mergeCell ref="A279:B279"/>
    <mergeCell ref="C282:D282"/>
    <mergeCell ref="E282:F282"/>
    <mergeCell ref="A280:B280"/>
    <mergeCell ref="C280:D280"/>
    <mergeCell ref="E280:F280"/>
    <mergeCell ref="A281:B281"/>
    <mergeCell ref="C281:D281"/>
    <mergeCell ref="E281:F281"/>
    <mergeCell ref="A282:B282"/>
    <mergeCell ref="C285:D285"/>
    <mergeCell ref="E285:F285"/>
    <mergeCell ref="A283:B283"/>
    <mergeCell ref="C283:D283"/>
    <mergeCell ref="E283:F283"/>
    <mergeCell ref="A284:B284"/>
    <mergeCell ref="C284:D284"/>
    <mergeCell ref="E284:F284"/>
    <mergeCell ref="A285:B285"/>
    <mergeCell ref="C288:D288"/>
    <mergeCell ref="E288:F288"/>
    <mergeCell ref="A286:B286"/>
    <mergeCell ref="C286:D286"/>
    <mergeCell ref="E286:F286"/>
    <mergeCell ref="A287:B287"/>
    <mergeCell ref="C287:D287"/>
    <mergeCell ref="E287:F287"/>
    <mergeCell ref="A288:B288"/>
    <mergeCell ref="C291:D291"/>
    <mergeCell ref="E291:F291"/>
    <mergeCell ref="A289:B289"/>
    <mergeCell ref="C289:D289"/>
    <mergeCell ref="E289:F289"/>
    <mergeCell ref="A290:B290"/>
    <mergeCell ref="C290:D290"/>
    <mergeCell ref="E290:F290"/>
    <mergeCell ref="A291:B291"/>
    <mergeCell ref="C294:D294"/>
    <mergeCell ref="E294:F294"/>
    <mergeCell ref="A292:B292"/>
    <mergeCell ref="C292:D292"/>
    <mergeCell ref="E292:F292"/>
    <mergeCell ref="A293:B293"/>
    <mergeCell ref="C293:D293"/>
    <mergeCell ref="E293:F293"/>
    <mergeCell ref="A294:B294"/>
    <mergeCell ref="C297:D297"/>
    <mergeCell ref="E297:F297"/>
    <mergeCell ref="A295:B295"/>
    <mergeCell ref="C295:D295"/>
    <mergeCell ref="E295:F295"/>
    <mergeCell ref="A296:B296"/>
    <mergeCell ref="C296:D296"/>
    <mergeCell ref="E296:F296"/>
    <mergeCell ref="A297:B297"/>
    <mergeCell ref="C300:D300"/>
    <mergeCell ref="E300:F300"/>
    <mergeCell ref="A298:B298"/>
    <mergeCell ref="C298:D298"/>
    <mergeCell ref="E298:F298"/>
    <mergeCell ref="A299:B299"/>
    <mergeCell ref="C299:D299"/>
    <mergeCell ref="E299:F299"/>
    <mergeCell ref="A300:B300"/>
    <mergeCell ref="C303:D303"/>
    <mergeCell ref="E303:F303"/>
    <mergeCell ref="A301:B301"/>
    <mergeCell ref="C301:D301"/>
    <mergeCell ref="E301:F301"/>
    <mergeCell ref="A302:B302"/>
    <mergeCell ref="C302:D302"/>
    <mergeCell ref="E302:F302"/>
    <mergeCell ref="A303:B303"/>
    <mergeCell ref="C306:D306"/>
    <mergeCell ref="E306:F306"/>
    <mergeCell ref="A304:B304"/>
    <mergeCell ref="C304:D304"/>
    <mergeCell ref="E304:F304"/>
    <mergeCell ref="A305:B305"/>
    <mergeCell ref="C305:D305"/>
    <mergeCell ref="E305:F305"/>
    <mergeCell ref="A306:B306"/>
    <mergeCell ref="C309:D309"/>
    <mergeCell ref="E309:F309"/>
    <mergeCell ref="A307:B307"/>
    <mergeCell ref="C307:D307"/>
    <mergeCell ref="E307:F307"/>
    <mergeCell ref="A308:B308"/>
    <mergeCell ref="C308:D308"/>
    <mergeCell ref="E308:F308"/>
    <mergeCell ref="A309:B309"/>
    <mergeCell ref="C312:D312"/>
    <mergeCell ref="E312:F312"/>
    <mergeCell ref="A310:B310"/>
    <mergeCell ref="C310:D310"/>
    <mergeCell ref="E310:F310"/>
    <mergeCell ref="A311:B311"/>
    <mergeCell ref="C311:D311"/>
    <mergeCell ref="E311:F311"/>
    <mergeCell ref="A312:B312"/>
    <mergeCell ref="C315:D315"/>
    <mergeCell ref="E315:F315"/>
    <mergeCell ref="A313:B313"/>
    <mergeCell ref="C313:D313"/>
    <mergeCell ref="E313:F313"/>
    <mergeCell ref="A314:B314"/>
    <mergeCell ref="C314:D314"/>
    <mergeCell ref="E314:F314"/>
    <mergeCell ref="A315:B315"/>
    <mergeCell ref="C318:D318"/>
    <mergeCell ref="E318:F318"/>
    <mergeCell ref="A316:B316"/>
    <mergeCell ref="C316:D316"/>
    <mergeCell ref="E316:F316"/>
    <mergeCell ref="A317:B317"/>
    <mergeCell ref="C317:D317"/>
    <mergeCell ref="E317:F317"/>
    <mergeCell ref="A318:B318"/>
    <mergeCell ref="C321:D321"/>
    <mergeCell ref="E321:F321"/>
    <mergeCell ref="A319:B319"/>
    <mergeCell ref="C319:D319"/>
    <mergeCell ref="E319:F319"/>
    <mergeCell ref="A320:B320"/>
    <mergeCell ref="C320:D320"/>
    <mergeCell ref="E320:F320"/>
    <mergeCell ref="A321:B321"/>
    <mergeCell ref="C324:D324"/>
    <mergeCell ref="E324:F324"/>
    <mergeCell ref="A322:B322"/>
    <mergeCell ref="C322:D322"/>
    <mergeCell ref="E322:F322"/>
    <mergeCell ref="A323:B323"/>
    <mergeCell ref="C323:D323"/>
    <mergeCell ref="E323:F323"/>
    <mergeCell ref="A324:B324"/>
    <mergeCell ref="C327:D327"/>
    <mergeCell ref="E327:F327"/>
    <mergeCell ref="A325:B325"/>
    <mergeCell ref="C325:D325"/>
    <mergeCell ref="E325:F325"/>
    <mergeCell ref="A326:B326"/>
    <mergeCell ref="C326:D326"/>
    <mergeCell ref="E326:F326"/>
    <mergeCell ref="A327:B327"/>
    <mergeCell ref="C330:D330"/>
    <mergeCell ref="E330:F330"/>
    <mergeCell ref="A328:B328"/>
    <mergeCell ref="C328:D328"/>
    <mergeCell ref="E328:F328"/>
    <mergeCell ref="A329:B329"/>
    <mergeCell ref="C329:D329"/>
    <mergeCell ref="E329:F329"/>
    <mergeCell ref="A330:B330"/>
    <mergeCell ref="C333:D333"/>
    <mergeCell ref="E333:F333"/>
    <mergeCell ref="A331:B331"/>
    <mergeCell ref="C331:D331"/>
    <mergeCell ref="E331:F331"/>
    <mergeCell ref="A332:B332"/>
    <mergeCell ref="C332:D332"/>
    <mergeCell ref="E332:F332"/>
    <mergeCell ref="A333:B333"/>
    <mergeCell ref="C336:D336"/>
    <mergeCell ref="E336:F336"/>
    <mergeCell ref="A334:B334"/>
    <mergeCell ref="C334:D334"/>
    <mergeCell ref="E334:F334"/>
    <mergeCell ref="A335:B335"/>
    <mergeCell ref="C335:D335"/>
    <mergeCell ref="E335:F335"/>
    <mergeCell ref="A336:B336"/>
    <mergeCell ref="C339:D339"/>
    <mergeCell ref="E339:F339"/>
    <mergeCell ref="A337:B337"/>
    <mergeCell ref="C337:D337"/>
    <mergeCell ref="E337:F337"/>
    <mergeCell ref="A338:B338"/>
    <mergeCell ref="C338:D338"/>
    <mergeCell ref="E338:F338"/>
    <mergeCell ref="A339:B339"/>
    <mergeCell ref="C342:D342"/>
    <mergeCell ref="E342:F342"/>
    <mergeCell ref="A340:B340"/>
    <mergeCell ref="C340:D340"/>
    <mergeCell ref="E340:F340"/>
    <mergeCell ref="A341:B341"/>
    <mergeCell ref="C341:D341"/>
    <mergeCell ref="E341:F341"/>
    <mergeCell ref="A342:B342"/>
    <mergeCell ref="C345:D345"/>
    <mergeCell ref="E345:F345"/>
    <mergeCell ref="A343:B343"/>
    <mergeCell ref="C343:D343"/>
    <mergeCell ref="E343:F343"/>
    <mergeCell ref="A344:B344"/>
    <mergeCell ref="C344:D344"/>
    <mergeCell ref="E344:F344"/>
    <mergeCell ref="A345:B345"/>
    <mergeCell ref="C348:D348"/>
    <mergeCell ref="E348:F348"/>
    <mergeCell ref="A346:B346"/>
    <mergeCell ref="C346:D346"/>
    <mergeCell ref="E346:F346"/>
    <mergeCell ref="A347:B347"/>
    <mergeCell ref="C347:D347"/>
    <mergeCell ref="E347:F347"/>
    <mergeCell ref="A348:B348"/>
    <mergeCell ref="C351:D351"/>
    <mergeCell ref="E351:F351"/>
    <mergeCell ref="A349:B349"/>
    <mergeCell ref="C349:D349"/>
    <mergeCell ref="E349:F349"/>
    <mergeCell ref="A350:B350"/>
    <mergeCell ref="C350:D350"/>
    <mergeCell ref="E350:F350"/>
    <mergeCell ref="A351:B351"/>
    <mergeCell ref="C354:D354"/>
    <mergeCell ref="E354:F354"/>
    <mergeCell ref="A352:B352"/>
    <mergeCell ref="C352:D352"/>
    <mergeCell ref="E352:F352"/>
    <mergeCell ref="A353:B353"/>
    <mergeCell ref="C353:D353"/>
    <mergeCell ref="E353:F353"/>
    <mergeCell ref="A354:B354"/>
    <mergeCell ref="C357:D357"/>
    <mergeCell ref="E357:F357"/>
    <mergeCell ref="A355:B355"/>
    <mergeCell ref="C355:D355"/>
    <mergeCell ref="E355:F355"/>
    <mergeCell ref="A356:B356"/>
    <mergeCell ref="C356:D356"/>
    <mergeCell ref="E356:F356"/>
    <mergeCell ref="A357:B357"/>
    <mergeCell ref="C360:D360"/>
    <mergeCell ref="E360:F360"/>
    <mergeCell ref="A358:B358"/>
    <mergeCell ref="C358:D358"/>
    <mergeCell ref="E358:F358"/>
    <mergeCell ref="A359:B359"/>
    <mergeCell ref="C359:D359"/>
    <mergeCell ref="E359:F359"/>
    <mergeCell ref="A360:B360"/>
    <mergeCell ref="C363:D363"/>
    <mergeCell ref="E363:F363"/>
    <mergeCell ref="A361:B361"/>
    <mergeCell ref="C361:D361"/>
    <mergeCell ref="E361:F361"/>
    <mergeCell ref="A362:B362"/>
    <mergeCell ref="C362:D362"/>
    <mergeCell ref="E362:F362"/>
    <mergeCell ref="A363:B363"/>
    <mergeCell ref="C366:D366"/>
    <mergeCell ref="E366:F366"/>
    <mergeCell ref="A364:B364"/>
    <mergeCell ref="C364:D364"/>
    <mergeCell ref="E364:F364"/>
    <mergeCell ref="A365:B365"/>
    <mergeCell ref="C365:D365"/>
    <mergeCell ref="E365:F365"/>
    <mergeCell ref="A366:B366"/>
    <mergeCell ref="C369:D369"/>
    <mergeCell ref="E369:F369"/>
    <mergeCell ref="A367:B367"/>
    <mergeCell ref="C367:D367"/>
    <mergeCell ref="E367:F367"/>
    <mergeCell ref="A368:B368"/>
    <mergeCell ref="C368:D368"/>
    <mergeCell ref="E368:F368"/>
    <mergeCell ref="A369:B369"/>
    <mergeCell ref="C372:D372"/>
    <mergeCell ref="E372:F372"/>
    <mergeCell ref="A370:B370"/>
    <mergeCell ref="C370:D370"/>
    <mergeCell ref="E370:F370"/>
    <mergeCell ref="A371:B371"/>
    <mergeCell ref="C371:D371"/>
    <mergeCell ref="E371:F371"/>
    <mergeCell ref="A372:B372"/>
    <mergeCell ref="C375:D375"/>
    <mergeCell ref="E375:F375"/>
    <mergeCell ref="A373:B373"/>
    <mergeCell ref="C373:D373"/>
    <mergeCell ref="E373:F373"/>
    <mergeCell ref="A374:B374"/>
    <mergeCell ref="C374:D374"/>
    <mergeCell ref="E374:F374"/>
    <mergeCell ref="A375:B375"/>
    <mergeCell ref="C378:D378"/>
    <mergeCell ref="E378:F378"/>
    <mergeCell ref="A376:B376"/>
    <mergeCell ref="C376:D376"/>
    <mergeCell ref="E376:F376"/>
    <mergeCell ref="A377:B377"/>
    <mergeCell ref="C377:D377"/>
    <mergeCell ref="E377:F377"/>
    <mergeCell ref="A378:B378"/>
    <mergeCell ref="C381:D381"/>
    <mergeCell ref="E381:F381"/>
    <mergeCell ref="A379:B379"/>
    <mergeCell ref="C379:D379"/>
    <mergeCell ref="E379:F379"/>
    <mergeCell ref="A380:B380"/>
    <mergeCell ref="C380:D380"/>
    <mergeCell ref="E380:F380"/>
    <mergeCell ref="A381:B381"/>
    <mergeCell ref="C384:D384"/>
    <mergeCell ref="E384:F384"/>
    <mergeCell ref="A382:B382"/>
    <mergeCell ref="C382:D382"/>
    <mergeCell ref="E382:F382"/>
    <mergeCell ref="A383:B383"/>
    <mergeCell ref="C383:D383"/>
    <mergeCell ref="E383:F383"/>
    <mergeCell ref="A384:B384"/>
    <mergeCell ref="C387:D387"/>
    <mergeCell ref="E387:F387"/>
    <mergeCell ref="A385:B385"/>
    <mergeCell ref="C385:D385"/>
    <mergeCell ref="E385:F385"/>
    <mergeCell ref="A386:B386"/>
    <mergeCell ref="C386:D386"/>
    <mergeCell ref="E386:F386"/>
    <mergeCell ref="A387:B387"/>
    <mergeCell ref="C390:D390"/>
    <mergeCell ref="E390:F390"/>
    <mergeCell ref="A388:B388"/>
    <mergeCell ref="C388:D388"/>
    <mergeCell ref="E388:F388"/>
    <mergeCell ref="A389:B389"/>
    <mergeCell ref="C389:D389"/>
    <mergeCell ref="E389:F389"/>
    <mergeCell ref="A390:B390"/>
    <mergeCell ref="C393:D393"/>
    <mergeCell ref="E393:F393"/>
    <mergeCell ref="A391:B391"/>
    <mergeCell ref="C391:D391"/>
    <mergeCell ref="E391:F391"/>
    <mergeCell ref="A392:B392"/>
    <mergeCell ref="C392:D392"/>
    <mergeCell ref="E392:F392"/>
    <mergeCell ref="A393:B393"/>
    <mergeCell ref="C396:D396"/>
    <mergeCell ref="E396:F396"/>
    <mergeCell ref="A394:B394"/>
    <mergeCell ref="C394:D394"/>
    <mergeCell ref="E394:F394"/>
    <mergeCell ref="A395:B395"/>
    <mergeCell ref="C395:D395"/>
    <mergeCell ref="E395:F395"/>
    <mergeCell ref="A396:B396"/>
    <mergeCell ref="C399:D399"/>
    <mergeCell ref="E399:F399"/>
    <mergeCell ref="A397:B397"/>
    <mergeCell ref="C397:D397"/>
    <mergeCell ref="E397:F397"/>
    <mergeCell ref="A398:B398"/>
    <mergeCell ref="C398:D398"/>
    <mergeCell ref="E398:F398"/>
    <mergeCell ref="A399:B399"/>
    <mergeCell ref="C402:D402"/>
    <mergeCell ref="E402:F402"/>
    <mergeCell ref="A400:B400"/>
    <mergeCell ref="C400:D400"/>
    <mergeCell ref="E400:F400"/>
    <mergeCell ref="A401:B401"/>
    <mergeCell ref="C401:D401"/>
    <mergeCell ref="E401:F401"/>
    <mergeCell ref="A402:B402"/>
    <mergeCell ref="C405:D405"/>
    <mergeCell ref="E405:F405"/>
    <mergeCell ref="A403:B403"/>
    <mergeCell ref="C403:D403"/>
    <mergeCell ref="E403:F403"/>
    <mergeCell ref="A404:B404"/>
    <mergeCell ref="C404:D404"/>
    <mergeCell ref="E404:F404"/>
    <mergeCell ref="A405:B405"/>
    <mergeCell ref="C408:D408"/>
    <mergeCell ref="E408:F408"/>
    <mergeCell ref="A406:B406"/>
    <mergeCell ref="C406:D406"/>
    <mergeCell ref="E406:F406"/>
    <mergeCell ref="A407:B407"/>
    <mergeCell ref="C407:D407"/>
    <mergeCell ref="E407:F407"/>
    <mergeCell ref="A408:B408"/>
    <mergeCell ref="C411:D411"/>
    <mergeCell ref="E411:F411"/>
    <mergeCell ref="A409:B409"/>
    <mergeCell ref="C409:D409"/>
    <mergeCell ref="E409:F409"/>
    <mergeCell ref="A410:B410"/>
    <mergeCell ref="C410:D410"/>
    <mergeCell ref="E410:F410"/>
    <mergeCell ref="A411:B411"/>
    <mergeCell ref="C414:D414"/>
    <mergeCell ref="E414:F414"/>
    <mergeCell ref="A412:B412"/>
    <mergeCell ref="C412:D412"/>
    <mergeCell ref="E412:F412"/>
    <mergeCell ref="A413:B413"/>
    <mergeCell ref="C413:D413"/>
    <mergeCell ref="E413:F413"/>
    <mergeCell ref="A414:B414"/>
    <mergeCell ref="C417:D417"/>
    <mergeCell ref="E417:F417"/>
    <mergeCell ref="A415:B415"/>
    <mergeCell ref="C415:D415"/>
    <mergeCell ref="E415:F415"/>
    <mergeCell ref="A416:B416"/>
    <mergeCell ref="C416:D416"/>
    <mergeCell ref="E416:F416"/>
    <mergeCell ref="A417:B417"/>
    <mergeCell ref="C420:D420"/>
    <mergeCell ref="E420:F420"/>
    <mergeCell ref="A418:B418"/>
    <mergeCell ref="C418:D418"/>
    <mergeCell ref="E418:F418"/>
    <mergeCell ref="A419:B419"/>
    <mergeCell ref="C419:D419"/>
    <mergeCell ref="E419:F419"/>
    <mergeCell ref="A420:B420"/>
    <mergeCell ref="C423:D423"/>
    <mergeCell ref="E423:F423"/>
    <mergeCell ref="A421:B421"/>
    <mergeCell ref="C421:D421"/>
    <mergeCell ref="E421:F421"/>
    <mergeCell ref="A422:B422"/>
    <mergeCell ref="C422:D422"/>
    <mergeCell ref="E422:F422"/>
    <mergeCell ref="A423:B423"/>
    <mergeCell ref="C426:D426"/>
    <mergeCell ref="E426:F426"/>
    <mergeCell ref="A424:B424"/>
    <mergeCell ref="C424:D424"/>
    <mergeCell ref="E424:F424"/>
    <mergeCell ref="A425:B425"/>
    <mergeCell ref="C425:D425"/>
    <mergeCell ref="E425:F425"/>
    <mergeCell ref="A426:B426"/>
    <mergeCell ref="C429:D429"/>
    <mergeCell ref="E429:F429"/>
    <mergeCell ref="A427:B427"/>
    <mergeCell ref="C427:D427"/>
    <mergeCell ref="E427:F427"/>
    <mergeCell ref="A428:B428"/>
    <mergeCell ref="C428:D428"/>
    <mergeCell ref="E428:F428"/>
    <mergeCell ref="A429:B429"/>
    <mergeCell ref="C432:D432"/>
    <mergeCell ref="E432:F432"/>
    <mergeCell ref="A430:B430"/>
    <mergeCell ref="C430:D430"/>
    <mergeCell ref="E430:F430"/>
    <mergeCell ref="A431:B431"/>
    <mergeCell ref="C431:D431"/>
    <mergeCell ref="E431:F431"/>
    <mergeCell ref="A432:B432"/>
    <mergeCell ref="C435:D435"/>
    <mergeCell ref="E435:F435"/>
    <mergeCell ref="A433:B433"/>
    <mergeCell ref="C433:D433"/>
    <mergeCell ref="E433:F433"/>
    <mergeCell ref="A434:B434"/>
    <mergeCell ref="C434:D434"/>
    <mergeCell ref="E434:F434"/>
    <mergeCell ref="A435:B435"/>
    <mergeCell ref="C438:D438"/>
    <mergeCell ref="E438:F438"/>
    <mergeCell ref="A436:B436"/>
    <mergeCell ref="C436:D436"/>
    <mergeCell ref="E436:F436"/>
    <mergeCell ref="A437:B437"/>
    <mergeCell ref="C437:D437"/>
    <mergeCell ref="E437:F437"/>
    <mergeCell ref="A438:B438"/>
    <mergeCell ref="C441:D441"/>
    <mergeCell ref="E441:F441"/>
    <mergeCell ref="A439:B439"/>
    <mergeCell ref="C439:D439"/>
    <mergeCell ref="E439:F439"/>
    <mergeCell ref="A440:B440"/>
    <mergeCell ref="C440:D440"/>
    <mergeCell ref="E440:F440"/>
    <mergeCell ref="A441:B441"/>
    <mergeCell ref="C444:D444"/>
    <mergeCell ref="E444:F444"/>
    <mergeCell ref="A442:B442"/>
    <mergeCell ref="C442:D442"/>
    <mergeCell ref="E442:F442"/>
    <mergeCell ref="A443:B443"/>
    <mergeCell ref="C443:D443"/>
    <mergeCell ref="E443:F443"/>
    <mergeCell ref="A444:B444"/>
    <mergeCell ref="C447:D447"/>
    <mergeCell ref="E447:F447"/>
    <mergeCell ref="A445:B445"/>
    <mergeCell ref="C445:D445"/>
    <mergeCell ref="E445:F445"/>
    <mergeCell ref="A446:B446"/>
    <mergeCell ref="C446:D446"/>
    <mergeCell ref="E446:F446"/>
    <mergeCell ref="A447:B447"/>
    <mergeCell ref="C450:D450"/>
    <mergeCell ref="E450:F450"/>
    <mergeCell ref="A448:B448"/>
    <mergeCell ref="C448:D448"/>
    <mergeCell ref="E448:F448"/>
    <mergeCell ref="A449:B449"/>
    <mergeCell ref="C449:D449"/>
    <mergeCell ref="E449:F449"/>
    <mergeCell ref="A450:B450"/>
    <mergeCell ref="C453:D453"/>
    <mergeCell ref="E453:F453"/>
    <mergeCell ref="A451:B451"/>
    <mergeCell ref="C451:D451"/>
    <mergeCell ref="E451:F451"/>
    <mergeCell ref="A452:B452"/>
    <mergeCell ref="C452:D452"/>
    <mergeCell ref="E452:F452"/>
    <mergeCell ref="A453:B453"/>
    <mergeCell ref="C456:D456"/>
    <mergeCell ref="E456:F456"/>
    <mergeCell ref="A454:B454"/>
    <mergeCell ref="C454:D454"/>
    <mergeCell ref="E454:F454"/>
    <mergeCell ref="A455:B455"/>
    <mergeCell ref="C455:D455"/>
    <mergeCell ref="E455:F455"/>
    <mergeCell ref="A456:B456"/>
    <mergeCell ref="C459:D459"/>
    <mergeCell ref="E459:F459"/>
    <mergeCell ref="A457:B457"/>
    <mergeCell ref="C457:D457"/>
    <mergeCell ref="E457:F457"/>
    <mergeCell ref="A458:B458"/>
    <mergeCell ref="C458:D458"/>
    <mergeCell ref="E458:F458"/>
    <mergeCell ref="A459:B459"/>
    <mergeCell ref="C462:D462"/>
    <mergeCell ref="E462:F462"/>
    <mergeCell ref="A460:B460"/>
    <mergeCell ref="C460:D460"/>
    <mergeCell ref="E460:F460"/>
    <mergeCell ref="A461:B461"/>
    <mergeCell ref="C461:D461"/>
    <mergeCell ref="E461:F461"/>
    <mergeCell ref="A462:B462"/>
    <mergeCell ref="C465:D465"/>
    <mergeCell ref="E465:F465"/>
    <mergeCell ref="A463:B463"/>
    <mergeCell ref="C463:D463"/>
    <mergeCell ref="E463:F463"/>
    <mergeCell ref="A464:B464"/>
    <mergeCell ref="C464:D464"/>
    <mergeCell ref="E464:F464"/>
    <mergeCell ref="A465:B465"/>
    <mergeCell ref="C468:D468"/>
    <mergeCell ref="E468:F468"/>
    <mergeCell ref="A466:B466"/>
    <mergeCell ref="C466:D466"/>
    <mergeCell ref="E466:F466"/>
    <mergeCell ref="A467:B467"/>
    <mergeCell ref="C467:D467"/>
    <mergeCell ref="E467:F467"/>
    <mergeCell ref="A468:B468"/>
    <mergeCell ref="C471:D471"/>
    <mergeCell ref="E471:F471"/>
    <mergeCell ref="A469:B469"/>
    <mergeCell ref="C469:D469"/>
    <mergeCell ref="E469:F469"/>
    <mergeCell ref="A470:B470"/>
    <mergeCell ref="C470:D470"/>
    <mergeCell ref="E470:F470"/>
    <mergeCell ref="A471:B471"/>
    <mergeCell ref="C474:D474"/>
    <mergeCell ref="E474:F474"/>
    <mergeCell ref="A472:B472"/>
    <mergeCell ref="C472:D472"/>
    <mergeCell ref="E472:F472"/>
    <mergeCell ref="A473:B473"/>
    <mergeCell ref="C473:D473"/>
    <mergeCell ref="E473:F473"/>
    <mergeCell ref="A474:B474"/>
    <mergeCell ref="C477:D477"/>
    <mergeCell ref="E477:F477"/>
    <mergeCell ref="A475:B475"/>
    <mergeCell ref="C475:D475"/>
    <mergeCell ref="E475:F475"/>
    <mergeCell ref="A476:B476"/>
    <mergeCell ref="C476:D476"/>
    <mergeCell ref="E476:F476"/>
    <mergeCell ref="A477:B477"/>
    <mergeCell ref="C480:D480"/>
    <mergeCell ref="E480:F480"/>
    <mergeCell ref="A478:B478"/>
    <mergeCell ref="C478:D478"/>
    <mergeCell ref="E478:F478"/>
    <mergeCell ref="A479:B479"/>
    <mergeCell ref="C479:D479"/>
    <mergeCell ref="E479:F479"/>
    <mergeCell ref="A480:B480"/>
    <mergeCell ref="C483:D483"/>
    <mergeCell ref="E483:F483"/>
    <mergeCell ref="A481:B481"/>
    <mergeCell ref="C481:D481"/>
    <mergeCell ref="E481:F481"/>
    <mergeCell ref="A482:B482"/>
    <mergeCell ref="C482:D482"/>
    <mergeCell ref="E482:F482"/>
    <mergeCell ref="A483:B483"/>
    <mergeCell ref="C486:D486"/>
    <mergeCell ref="E486:F486"/>
    <mergeCell ref="A484:B484"/>
    <mergeCell ref="C484:D484"/>
    <mergeCell ref="E484:F484"/>
    <mergeCell ref="A485:B485"/>
    <mergeCell ref="C485:D485"/>
    <mergeCell ref="E485:F485"/>
    <mergeCell ref="A486:B486"/>
    <mergeCell ref="C489:D489"/>
    <mergeCell ref="E489:F489"/>
    <mergeCell ref="A487:B487"/>
    <mergeCell ref="C487:D487"/>
    <mergeCell ref="E487:F487"/>
    <mergeCell ref="A488:B488"/>
    <mergeCell ref="C488:D488"/>
    <mergeCell ref="E488:F488"/>
    <mergeCell ref="A489:B489"/>
    <mergeCell ref="C492:D492"/>
    <mergeCell ref="E492:F492"/>
    <mergeCell ref="A490:B490"/>
    <mergeCell ref="C490:D490"/>
    <mergeCell ref="E490:F490"/>
    <mergeCell ref="A491:B491"/>
    <mergeCell ref="C491:D491"/>
    <mergeCell ref="E491:F491"/>
    <mergeCell ref="A492:B492"/>
    <mergeCell ref="C495:D495"/>
    <mergeCell ref="E495:F495"/>
    <mergeCell ref="A493:B493"/>
    <mergeCell ref="C493:D493"/>
    <mergeCell ref="E493:F493"/>
    <mergeCell ref="A494:B494"/>
    <mergeCell ref="C494:D494"/>
    <mergeCell ref="E494:F494"/>
    <mergeCell ref="A495:B495"/>
    <mergeCell ref="C498:D498"/>
    <mergeCell ref="E498:F498"/>
    <mergeCell ref="A496:B496"/>
    <mergeCell ref="C496:D496"/>
    <mergeCell ref="E496:F496"/>
    <mergeCell ref="A497:B497"/>
    <mergeCell ref="C497:D497"/>
    <mergeCell ref="E497:F497"/>
    <mergeCell ref="A498:B498"/>
    <mergeCell ref="C501:D501"/>
    <mergeCell ref="E501:F501"/>
    <mergeCell ref="A499:B499"/>
    <mergeCell ref="C499:D499"/>
    <mergeCell ref="E499:F499"/>
    <mergeCell ref="A500:B500"/>
    <mergeCell ref="C500:D500"/>
    <mergeCell ref="E500:F500"/>
    <mergeCell ref="A501:B501"/>
    <mergeCell ref="C504:D504"/>
    <mergeCell ref="E504:F504"/>
    <mergeCell ref="A502:B502"/>
    <mergeCell ref="C502:D502"/>
    <mergeCell ref="E502:F502"/>
    <mergeCell ref="A503:B503"/>
    <mergeCell ref="C503:D503"/>
    <mergeCell ref="E503:F503"/>
    <mergeCell ref="A504:B504"/>
    <mergeCell ref="C507:D507"/>
    <mergeCell ref="E507:F507"/>
    <mergeCell ref="A505:B505"/>
    <mergeCell ref="C505:D505"/>
    <mergeCell ref="E505:F505"/>
    <mergeCell ref="A506:B506"/>
    <mergeCell ref="C506:D506"/>
    <mergeCell ref="E506:F506"/>
    <mergeCell ref="A507:B507"/>
    <mergeCell ref="C510:D510"/>
    <mergeCell ref="E510:F510"/>
    <mergeCell ref="A508:B508"/>
    <mergeCell ref="C508:D508"/>
    <mergeCell ref="E508:F508"/>
    <mergeCell ref="A509:B509"/>
    <mergeCell ref="C509:D509"/>
    <mergeCell ref="E509:F509"/>
    <mergeCell ref="A510:B510"/>
    <mergeCell ref="C513:D513"/>
    <mergeCell ref="E513:F513"/>
    <mergeCell ref="A511:B511"/>
    <mergeCell ref="C511:D511"/>
    <mergeCell ref="E511:F511"/>
    <mergeCell ref="A512:B512"/>
    <mergeCell ref="C512:D512"/>
    <mergeCell ref="E512:F512"/>
    <mergeCell ref="A513:B513"/>
    <mergeCell ref="C516:D516"/>
    <mergeCell ref="E516:F516"/>
    <mergeCell ref="A514:B514"/>
    <mergeCell ref="C514:D514"/>
    <mergeCell ref="E514:F514"/>
    <mergeCell ref="A515:B515"/>
    <mergeCell ref="C515:D515"/>
    <mergeCell ref="E515:F515"/>
    <mergeCell ref="A516:B516"/>
    <mergeCell ref="C519:D519"/>
    <mergeCell ref="E519:F519"/>
    <mergeCell ref="A517:B517"/>
    <mergeCell ref="C517:D517"/>
    <mergeCell ref="E517:F517"/>
    <mergeCell ref="A518:B518"/>
    <mergeCell ref="C518:D518"/>
    <mergeCell ref="E518:F518"/>
    <mergeCell ref="A519:B519"/>
    <mergeCell ref="C522:D522"/>
    <mergeCell ref="E522:F522"/>
    <mergeCell ref="A520:B520"/>
    <mergeCell ref="C520:D520"/>
    <mergeCell ref="E520:F520"/>
    <mergeCell ref="A521:B521"/>
    <mergeCell ref="C521:D521"/>
    <mergeCell ref="E521:F521"/>
    <mergeCell ref="A522:B522"/>
    <mergeCell ref="C525:D525"/>
    <mergeCell ref="E525:F525"/>
    <mergeCell ref="A523:B523"/>
    <mergeCell ref="C523:D523"/>
    <mergeCell ref="E523:F523"/>
    <mergeCell ref="A524:B524"/>
    <mergeCell ref="C524:D524"/>
    <mergeCell ref="E524:F524"/>
    <mergeCell ref="A525:B525"/>
    <mergeCell ref="C528:D528"/>
    <mergeCell ref="E528:F528"/>
    <mergeCell ref="A526:B526"/>
    <mergeCell ref="C526:D526"/>
    <mergeCell ref="E526:F526"/>
    <mergeCell ref="A527:B527"/>
    <mergeCell ref="C527:D527"/>
    <mergeCell ref="E527:F527"/>
    <mergeCell ref="A528:B528"/>
    <mergeCell ref="C531:D531"/>
    <mergeCell ref="E531:F531"/>
    <mergeCell ref="A529:B529"/>
    <mergeCell ref="C529:D529"/>
    <mergeCell ref="E529:F529"/>
    <mergeCell ref="A530:B530"/>
    <mergeCell ref="C530:D530"/>
    <mergeCell ref="E530:F530"/>
    <mergeCell ref="A531:B531"/>
    <mergeCell ref="C534:D534"/>
    <mergeCell ref="E534:F534"/>
    <mergeCell ref="A532:B532"/>
    <mergeCell ref="C532:D532"/>
    <mergeCell ref="E532:F532"/>
    <mergeCell ref="A533:B533"/>
    <mergeCell ref="C533:D533"/>
    <mergeCell ref="E533:F533"/>
    <mergeCell ref="A534:B534"/>
    <mergeCell ref="C537:D537"/>
    <mergeCell ref="E537:F537"/>
    <mergeCell ref="A535:B535"/>
    <mergeCell ref="C535:D535"/>
    <mergeCell ref="E535:F535"/>
    <mergeCell ref="A536:B536"/>
    <mergeCell ref="C536:D536"/>
    <mergeCell ref="E536:F536"/>
    <mergeCell ref="A537:B537"/>
    <mergeCell ref="C540:D540"/>
    <mergeCell ref="E540:F540"/>
    <mergeCell ref="A538:B538"/>
    <mergeCell ref="C538:D538"/>
    <mergeCell ref="E538:F538"/>
    <mergeCell ref="A539:B539"/>
    <mergeCell ref="C539:D539"/>
    <mergeCell ref="E539:F539"/>
    <mergeCell ref="A540:B540"/>
    <mergeCell ref="C543:D543"/>
    <mergeCell ref="E543:F543"/>
    <mergeCell ref="A541:B541"/>
    <mergeCell ref="C541:D541"/>
    <mergeCell ref="E541:F541"/>
    <mergeCell ref="A542:B542"/>
    <mergeCell ref="C542:D542"/>
    <mergeCell ref="E542:F542"/>
    <mergeCell ref="A543:B543"/>
    <mergeCell ref="C546:D546"/>
    <mergeCell ref="E546:F546"/>
    <mergeCell ref="A544:B544"/>
    <mergeCell ref="C544:D544"/>
    <mergeCell ref="E544:F544"/>
    <mergeCell ref="A545:B545"/>
    <mergeCell ref="C545:D545"/>
    <mergeCell ref="E545:F545"/>
    <mergeCell ref="A546:B546"/>
    <mergeCell ref="C549:D549"/>
    <mergeCell ref="E549:F549"/>
    <mergeCell ref="A547:B547"/>
    <mergeCell ref="C547:D547"/>
    <mergeCell ref="E547:F547"/>
    <mergeCell ref="A548:B548"/>
    <mergeCell ref="C548:D548"/>
    <mergeCell ref="E548:F548"/>
    <mergeCell ref="A549:B549"/>
    <mergeCell ref="C552:D552"/>
    <mergeCell ref="E552:F552"/>
    <mergeCell ref="A550:B550"/>
    <mergeCell ref="C550:D550"/>
    <mergeCell ref="E550:F550"/>
    <mergeCell ref="A551:B551"/>
    <mergeCell ref="C551:D551"/>
    <mergeCell ref="E551:F551"/>
    <mergeCell ref="A552:B552"/>
    <mergeCell ref="C555:D555"/>
    <mergeCell ref="E555:F555"/>
    <mergeCell ref="A553:B553"/>
    <mergeCell ref="C553:D553"/>
    <mergeCell ref="E553:F553"/>
    <mergeCell ref="A554:B554"/>
    <mergeCell ref="C554:D554"/>
    <mergeCell ref="E554:F554"/>
    <mergeCell ref="A555:B555"/>
    <mergeCell ref="C558:D558"/>
    <mergeCell ref="E558:F558"/>
    <mergeCell ref="A556:B556"/>
    <mergeCell ref="C556:D556"/>
    <mergeCell ref="E556:F556"/>
    <mergeCell ref="A557:B557"/>
    <mergeCell ref="C557:D557"/>
    <mergeCell ref="E557:F557"/>
    <mergeCell ref="A558:B558"/>
    <mergeCell ref="C561:D561"/>
    <mergeCell ref="E561:F561"/>
    <mergeCell ref="A559:B559"/>
    <mergeCell ref="C559:D559"/>
    <mergeCell ref="E559:F559"/>
    <mergeCell ref="A560:B560"/>
    <mergeCell ref="C560:D560"/>
    <mergeCell ref="E560:F560"/>
    <mergeCell ref="A561:B561"/>
    <mergeCell ref="C564:D564"/>
    <mergeCell ref="E564:F564"/>
    <mergeCell ref="A562:B562"/>
    <mergeCell ref="C562:D562"/>
    <mergeCell ref="E562:F562"/>
    <mergeCell ref="A563:B563"/>
    <mergeCell ref="C563:D563"/>
    <mergeCell ref="E563:F563"/>
    <mergeCell ref="A564:B564"/>
    <mergeCell ref="C567:D567"/>
    <mergeCell ref="E567:F567"/>
    <mergeCell ref="A565:B565"/>
    <mergeCell ref="C565:D565"/>
    <mergeCell ref="E565:F565"/>
    <mergeCell ref="A566:B566"/>
    <mergeCell ref="C566:D566"/>
    <mergeCell ref="E566:F566"/>
    <mergeCell ref="A567:B567"/>
    <mergeCell ref="C570:D570"/>
    <mergeCell ref="E570:F570"/>
    <mergeCell ref="A568:B568"/>
    <mergeCell ref="C568:D568"/>
    <mergeCell ref="E568:F568"/>
    <mergeCell ref="A569:B569"/>
    <mergeCell ref="C569:D569"/>
    <mergeCell ref="E569:F569"/>
    <mergeCell ref="A570:B570"/>
    <mergeCell ref="C573:D573"/>
    <mergeCell ref="E573:F573"/>
    <mergeCell ref="A571:B571"/>
    <mergeCell ref="C571:D571"/>
    <mergeCell ref="E571:F571"/>
    <mergeCell ref="A572:B572"/>
    <mergeCell ref="C572:D572"/>
    <mergeCell ref="E572:F572"/>
    <mergeCell ref="A573:B573"/>
    <mergeCell ref="C576:D576"/>
    <mergeCell ref="E576:F576"/>
    <mergeCell ref="A574:B574"/>
    <mergeCell ref="C574:D574"/>
    <mergeCell ref="E574:F574"/>
    <mergeCell ref="A575:B575"/>
    <mergeCell ref="C575:D575"/>
    <mergeCell ref="E575:F575"/>
    <mergeCell ref="A576:B576"/>
    <mergeCell ref="C579:D579"/>
    <mergeCell ref="E579:F579"/>
    <mergeCell ref="A577:B577"/>
    <mergeCell ref="C577:D577"/>
    <mergeCell ref="E577:F577"/>
    <mergeCell ref="A578:B578"/>
    <mergeCell ref="C578:D578"/>
    <mergeCell ref="E578:F578"/>
    <mergeCell ref="A579:B579"/>
    <mergeCell ref="C582:D582"/>
    <mergeCell ref="E582:F582"/>
    <mergeCell ref="A580:B580"/>
    <mergeCell ref="C580:D580"/>
    <mergeCell ref="E580:F580"/>
    <mergeCell ref="A581:B581"/>
    <mergeCell ref="C581:D581"/>
    <mergeCell ref="E581:F581"/>
    <mergeCell ref="A582:B582"/>
    <mergeCell ref="C585:D585"/>
    <mergeCell ref="E585:F585"/>
    <mergeCell ref="A583:B583"/>
    <mergeCell ref="C583:D583"/>
    <mergeCell ref="E583:F583"/>
    <mergeCell ref="A584:B584"/>
    <mergeCell ref="C584:D584"/>
    <mergeCell ref="E584:F584"/>
    <mergeCell ref="A585:B585"/>
    <mergeCell ref="C588:D588"/>
    <mergeCell ref="E588:F588"/>
    <mergeCell ref="A586:B586"/>
    <mergeCell ref="C586:D586"/>
    <mergeCell ref="E586:F586"/>
    <mergeCell ref="A587:B587"/>
    <mergeCell ref="C587:D587"/>
    <mergeCell ref="E587:F587"/>
    <mergeCell ref="A588:B588"/>
    <mergeCell ref="C591:D591"/>
    <mergeCell ref="E591:F591"/>
    <mergeCell ref="A589:B589"/>
    <mergeCell ref="C589:D589"/>
    <mergeCell ref="E589:F589"/>
    <mergeCell ref="A590:B590"/>
    <mergeCell ref="C590:D590"/>
    <mergeCell ref="E590:F590"/>
    <mergeCell ref="A591:B591"/>
    <mergeCell ref="C594:D594"/>
    <mergeCell ref="E594:F594"/>
    <mergeCell ref="A592:B592"/>
    <mergeCell ref="C592:D592"/>
    <mergeCell ref="E592:F592"/>
    <mergeCell ref="A593:B593"/>
    <mergeCell ref="C593:D593"/>
    <mergeCell ref="E593:F593"/>
    <mergeCell ref="A594:B594"/>
    <mergeCell ref="C597:D597"/>
    <mergeCell ref="E597:F597"/>
    <mergeCell ref="A595:B595"/>
    <mergeCell ref="C595:D595"/>
    <mergeCell ref="E595:F595"/>
    <mergeCell ref="A596:B596"/>
    <mergeCell ref="C596:D596"/>
    <mergeCell ref="E596:F596"/>
    <mergeCell ref="A597:B597"/>
    <mergeCell ref="C600:D600"/>
    <mergeCell ref="E600:F600"/>
    <mergeCell ref="A598:B598"/>
    <mergeCell ref="C598:D598"/>
    <mergeCell ref="E598:F598"/>
    <mergeCell ref="A599:B599"/>
    <mergeCell ref="C599:D599"/>
    <mergeCell ref="E599:F599"/>
    <mergeCell ref="A600:B600"/>
    <mergeCell ref="C603:D603"/>
    <mergeCell ref="E603:F603"/>
    <mergeCell ref="A601:B601"/>
    <mergeCell ref="C601:D601"/>
    <mergeCell ref="E601:F601"/>
    <mergeCell ref="A602:B602"/>
    <mergeCell ref="C602:D602"/>
    <mergeCell ref="E602:F602"/>
    <mergeCell ref="A603:B603"/>
    <mergeCell ref="C606:D606"/>
    <mergeCell ref="E606:F606"/>
    <mergeCell ref="A604:B604"/>
    <mergeCell ref="C604:D604"/>
    <mergeCell ref="E604:F604"/>
    <mergeCell ref="A605:B605"/>
    <mergeCell ref="C605:D605"/>
    <mergeCell ref="E605:F605"/>
    <mergeCell ref="A606:B606"/>
    <mergeCell ref="C609:D609"/>
    <mergeCell ref="E609:F609"/>
    <mergeCell ref="A607:B607"/>
    <mergeCell ref="C607:D607"/>
    <mergeCell ref="E607:F607"/>
    <mergeCell ref="A608:B608"/>
    <mergeCell ref="C608:D608"/>
    <mergeCell ref="E608:F608"/>
    <mergeCell ref="A609:B609"/>
    <mergeCell ref="C612:D612"/>
    <mergeCell ref="E612:F612"/>
    <mergeCell ref="A610:B610"/>
    <mergeCell ref="C610:D610"/>
    <mergeCell ref="E610:F610"/>
    <mergeCell ref="A611:B611"/>
    <mergeCell ref="C611:D611"/>
    <mergeCell ref="E611:F611"/>
    <mergeCell ref="A612:B612"/>
    <mergeCell ref="C615:D615"/>
    <mergeCell ref="E615:F615"/>
    <mergeCell ref="A613:B613"/>
    <mergeCell ref="C613:D613"/>
    <mergeCell ref="E613:F613"/>
    <mergeCell ref="A614:B614"/>
    <mergeCell ref="C614:D614"/>
    <mergeCell ref="E614:F614"/>
    <mergeCell ref="A615:B615"/>
    <mergeCell ref="C618:D618"/>
    <mergeCell ref="E618:F618"/>
    <mergeCell ref="A616:B616"/>
    <mergeCell ref="C616:D616"/>
    <mergeCell ref="E616:F616"/>
    <mergeCell ref="A617:B617"/>
    <mergeCell ref="C617:D617"/>
    <mergeCell ref="E617:F617"/>
    <mergeCell ref="A618:B618"/>
    <mergeCell ref="C621:D621"/>
    <mergeCell ref="E621:F621"/>
    <mergeCell ref="A619:B619"/>
    <mergeCell ref="C619:D619"/>
    <mergeCell ref="E619:F619"/>
    <mergeCell ref="A620:B620"/>
    <mergeCell ref="C620:D620"/>
    <mergeCell ref="E620:F620"/>
    <mergeCell ref="A621:B621"/>
    <mergeCell ref="C624:D624"/>
    <mergeCell ref="E624:F624"/>
    <mergeCell ref="A622:B622"/>
    <mergeCell ref="C622:D622"/>
    <mergeCell ref="E622:F622"/>
    <mergeCell ref="A623:B623"/>
    <mergeCell ref="C623:D623"/>
    <mergeCell ref="E623:F623"/>
    <mergeCell ref="A624:B624"/>
    <mergeCell ref="C627:D627"/>
    <mergeCell ref="E627:F627"/>
    <mergeCell ref="A625:B625"/>
    <mergeCell ref="C625:D625"/>
    <mergeCell ref="E625:F625"/>
    <mergeCell ref="A626:B626"/>
    <mergeCell ref="C626:D626"/>
    <mergeCell ref="E626:F626"/>
    <mergeCell ref="A627:B627"/>
    <mergeCell ref="C630:D630"/>
    <mergeCell ref="E630:F630"/>
    <mergeCell ref="A628:B628"/>
    <mergeCell ref="C628:D628"/>
    <mergeCell ref="E628:F628"/>
    <mergeCell ref="A629:B629"/>
    <mergeCell ref="C629:D629"/>
    <mergeCell ref="E629:F629"/>
    <mergeCell ref="A630:B630"/>
    <mergeCell ref="C633:D633"/>
    <mergeCell ref="E633:F633"/>
    <mergeCell ref="A631:B631"/>
    <mergeCell ref="C631:D631"/>
    <mergeCell ref="E631:F631"/>
    <mergeCell ref="A632:B632"/>
    <mergeCell ref="C632:D632"/>
    <mergeCell ref="E632:F632"/>
    <mergeCell ref="A633:B633"/>
    <mergeCell ref="C636:D636"/>
    <mergeCell ref="E636:F636"/>
    <mergeCell ref="A634:B634"/>
    <mergeCell ref="C634:D634"/>
    <mergeCell ref="E634:F634"/>
    <mergeCell ref="A635:B635"/>
    <mergeCell ref="C635:D635"/>
    <mergeCell ref="E635:F635"/>
    <mergeCell ref="A636:B636"/>
    <mergeCell ref="C639:D639"/>
    <mergeCell ref="E639:F639"/>
    <mergeCell ref="A637:B637"/>
    <mergeCell ref="C637:D637"/>
    <mergeCell ref="E637:F637"/>
    <mergeCell ref="A638:B638"/>
    <mergeCell ref="C638:D638"/>
    <mergeCell ref="E638:F638"/>
    <mergeCell ref="A639:B639"/>
    <mergeCell ref="C642:D642"/>
    <mergeCell ref="E642:F642"/>
    <mergeCell ref="A640:B640"/>
    <mergeCell ref="C640:D640"/>
    <mergeCell ref="E640:F640"/>
    <mergeCell ref="A641:B641"/>
    <mergeCell ref="C641:D641"/>
    <mergeCell ref="E641:F641"/>
    <mergeCell ref="A642:B642"/>
    <mergeCell ref="C645:D645"/>
    <mergeCell ref="E645:F645"/>
    <mergeCell ref="A643:B643"/>
    <mergeCell ref="C643:D643"/>
    <mergeCell ref="E643:F643"/>
    <mergeCell ref="A644:B644"/>
    <mergeCell ref="C644:D644"/>
    <mergeCell ref="E644:F644"/>
    <mergeCell ref="A645:B645"/>
    <mergeCell ref="C648:D648"/>
    <mergeCell ref="E648:F648"/>
    <mergeCell ref="A646:B646"/>
    <mergeCell ref="C646:D646"/>
    <mergeCell ref="E646:F646"/>
    <mergeCell ref="A647:B647"/>
    <mergeCell ref="C647:D647"/>
    <mergeCell ref="E647:F647"/>
    <mergeCell ref="A648:B648"/>
    <mergeCell ref="C651:D651"/>
    <mergeCell ref="E651:F651"/>
    <mergeCell ref="A649:B649"/>
    <mergeCell ref="C649:D649"/>
    <mergeCell ref="E649:F649"/>
    <mergeCell ref="A650:B650"/>
    <mergeCell ref="C650:D650"/>
    <mergeCell ref="E650:F650"/>
    <mergeCell ref="A651:B651"/>
    <mergeCell ref="C654:D654"/>
    <mergeCell ref="E654:F654"/>
    <mergeCell ref="A652:B652"/>
    <mergeCell ref="C652:D652"/>
    <mergeCell ref="E652:F652"/>
    <mergeCell ref="A653:B653"/>
    <mergeCell ref="C653:D653"/>
    <mergeCell ref="E653:F653"/>
    <mergeCell ref="A654:B654"/>
    <mergeCell ref="C657:D657"/>
    <mergeCell ref="E657:F657"/>
    <mergeCell ref="A655:B655"/>
    <mergeCell ref="C655:D655"/>
    <mergeCell ref="E655:F655"/>
    <mergeCell ref="A656:B656"/>
    <mergeCell ref="C656:D656"/>
    <mergeCell ref="E656:F656"/>
    <mergeCell ref="A657:B657"/>
    <mergeCell ref="C660:D660"/>
    <mergeCell ref="E660:F660"/>
    <mergeCell ref="A658:B658"/>
    <mergeCell ref="C658:D658"/>
    <mergeCell ref="E658:F658"/>
    <mergeCell ref="A659:B659"/>
    <mergeCell ref="C659:D659"/>
    <mergeCell ref="E659:F659"/>
    <mergeCell ref="A660:B660"/>
    <mergeCell ref="C663:D663"/>
    <mergeCell ref="E663:F663"/>
    <mergeCell ref="A661:B661"/>
    <mergeCell ref="C661:D661"/>
    <mergeCell ref="E661:F661"/>
    <mergeCell ref="A662:B662"/>
    <mergeCell ref="C662:D662"/>
    <mergeCell ref="E662:F662"/>
    <mergeCell ref="A663:B663"/>
    <mergeCell ref="C666:D666"/>
    <mergeCell ref="E666:F666"/>
    <mergeCell ref="A664:B664"/>
    <mergeCell ref="C664:D664"/>
    <mergeCell ref="E664:F664"/>
    <mergeCell ref="A665:B665"/>
    <mergeCell ref="C665:D665"/>
    <mergeCell ref="E665:F665"/>
    <mergeCell ref="A666:B666"/>
    <mergeCell ref="C669:D669"/>
    <mergeCell ref="E669:F669"/>
    <mergeCell ref="A667:B667"/>
    <mergeCell ref="C667:D667"/>
    <mergeCell ref="E667:F667"/>
    <mergeCell ref="A668:B668"/>
    <mergeCell ref="C668:D668"/>
    <mergeCell ref="E668:F668"/>
    <mergeCell ref="A669:B669"/>
    <mergeCell ref="C672:D672"/>
    <mergeCell ref="E672:F672"/>
    <mergeCell ref="A670:B670"/>
    <mergeCell ref="C670:D670"/>
    <mergeCell ref="E670:F670"/>
    <mergeCell ref="A671:B671"/>
    <mergeCell ref="C671:D671"/>
    <mergeCell ref="E671:F671"/>
    <mergeCell ref="A672:B672"/>
    <mergeCell ref="C675:D675"/>
    <mergeCell ref="E675:F675"/>
    <mergeCell ref="A673:B673"/>
    <mergeCell ref="C673:D673"/>
    <mergeCell ref="E673:F673"/>
    <mergeCell ref="A674:B674"/>
    <mergeCell ref="C674:D674"/>
    <mergeCell ref="E674:F674"/>
    <mergeCell ref="A675:B675"/>
    <mergeCell ref="C678:D678"/>
    <mergeCell ref="E678:F678"/>
    <mergeCell ref="A676:B676"/>
    <mergeCell ref="C676:D676"/>
    <mergeCell ref="E676:F676"/>
    <mergeCell ref="A677:B677"/>
    <mergeCell ref="C677:D677"/>
    <mergeCell ref="E677:F677"/>
    <mergeCell ref="A678:B678"/>
    <mergeCell ref="C681:D681"/>
    <mergeCell ref="E681:F681"/>
    <mergeCell ref="A679:B679"/>
    <mergeCell ref="C679:D679"/>
    <mergeCell ref="E679:F679"/>
    <mergeCell ref="A680:B680"/>
    <mergeCell ref="C680:D680"/>
    <mergeCell ref="E680:F680"/>
    <mergeCell ref="A681:B681"/>
    <mergeCell ref="C684:D684"/>
    <mergeCell ref="E684:F684"/>
    <mergeCell ref="A682:B682"/>
    <mergeCell ref="C682:D682"/>
    <mergeCell ref="E682:F682"/>
    <mergeCell ref="A683:B683"/>
    <mergeCell ref="C683:D683"/>
    <mergeCell ref="E683:F683"/>
    <mergeCell ref="A684:B684"/>
    <mergeCell ref="C687:D687"/>
    <mergeCell ref="E687:F687"/>
    <mergeCell ref="A685:B685"/>
    <mergeCell ref="C685:D685"/>
    <mergeCell ref="E685:F685"/>
    <mergeCell ref="A686:B686"/>
    <mergeCell ref="C686:D686"/>
    <mergeCell ref="E686:F686"/>
    <mergeCell ref="A687:B687"/>
    <mergeCell ref="C690:D690"/>
    <mergeCell ref="E690:F690"/>
    <mergeCell ref="A688:B688"/>
    <mergeCell ref="C688:D688"/>
    <mergeCell ref="E688:F688"/>
    <mergeCell ref="A689:B689"/>
    <mergeCell ref="C689:D689"/>
    <mergeCell ref="E689:F689"/>
    <mergeCell ref="A690:B690"/>
    <mergeCell ref="C693:D693"/>
    <mergeCell ref="E693:F693"/>
    <mergeCell ref="A691:B691"/>
    <mergeCell ref="C691:D691"/>
    <mergeCell ref="E691:F691"/>
    <mergeCell ref="A692:B692"/>
    <mergeCell ref="C692:D692"/>
    <mergeCell ref="E692:F692"/>
    <mergeCell ref="A693:B693"/>
    <mergeCell ref="C696:D696"/>
    <mergeCell ref="E696:F696"/>
    <mergeCell ref="A694:B694"/>
    <mergeCell ref="C694:D694"/>
    <mergeCell ref="E694:F694"/>
    <mergeCell ref="A695:B695"/>
    <mergeCell ref="C695:D695"/>
    <mergeCell ref="E695:F695"/>
    <mergeCell ref="A696:B696"/>
    <mergeCell ref="C699:D699"/>
    <mergeCell ref="E699:F699"/>
    <mergeCell ref="A697:B697"/>
    <mergeCell ref="C697:D697"/>
    <mergeCell ref="E697:F697"/>
    <mergeCell ref="A698:B698"/>
    <mergeCell ref="C698:D698"/>
    <mergeCell ref="E698:F698"/>
    <mergeCell ref="A699:B699"/>
    <mergeCell ref="C702:D702"/>
    <mergeCell ref="E702:F702"/>
    <mergeCell ref="A700:B700"/>
    <mergeCell ref="C700:D700"/>
    <mergeCell ref="E700:F700"/>
    <mergeCell ref="A701:B701"/>
    <mergeCell ref="C701:D701"/>
    <mergeCell ref="E701:F701"/>
    <mergeCell ref="A702:B702"/>
    <mergeCell ref="C705:D705"/>
    <mergeCell ref="E705:F705"/>
    <mergeCell ref="A703:B703"/>
    <mergeCell ref="C703:D703"/>
    <mergeCell ref="E703:F703"/>
    <mergeCell ref="A704:B704"/>
    <mergeCell ref="C704:D704"/>
    <mergeCell ref="E704:F704"/>
    <mergeCell ref="A705:B705"/>
    <mergeCell ref="C708:D708"/>
    <mergeCell ref="E708:F708"/>
    <mergeCell ref="A706:B706"/>
    <mergeCell ref="C706:D706"/>
    <mergeCell ref="E706:F706"/>
    <mergeCell ref="A707:B707"/>
    <mergeCell ref="C707:D707"/>
    <mergeCell ref="E707:F707"/>
    <mergeCell ref="A708:B708"/>
    <mergeCell ref="C711:D711"/>
    <mergeCell ref="E711:F711"/>
    <mergeCell ref="A709:B709"/>
    <mergeCell ref="C709:D709"/>
    <mergeCell ref="E709:F709"/>
    <mergeCell ref="A710:B710"/>
    <mergeCell ref="C710:D710"/>
    <mergeCell ref="E710:F710"/>
    <mergeCell ref="A711:B711"/>
    <mergeCell ref="C714:D714"/>
    <mergeCell ref="E714:F714"/>
    <mergeCell ref="A712:B712"/>
    <mergeCell ref="C712:D712"/>
    <mergeCell ref="E712:F712"/>
    <mergeCell ref="A713:B713"/>
    <mergeCell ref="C713:D713"/>
    <mergeCell ref="E713:F713"/>
    <mergeCell ref="A714:B714"/>
    <mergeCell ref="C717:D717"/>
    <mergeCell ref="E717:F717"/>
    <mergeCell ref="A715:B715"/>
    <mergeCell ref="C715:D715"/>
    <mergeCell ref="E715:F715"/>
    <mergeCell ref="A716:B716"/>
    <mergeCell ref="C716:D716"/>
    <mergeCell ref="E716:F716"/>
    <mergeCell ref="A717:B717"/>
    <mergeCell ref="C720:D720"/>
    <mergeCell ref="E720:F720"/>
    <mergeCell ref="A718:B718"/>
    <mergeCell ref="C718:D718"/>
    <mergeCell ref="E718:F718"/>
    <mergeCell ref="A719:B719"/>
    <mergeCell ref="C719:D719"/>
    <mergeCell ref="E719:F719"/>
    <mergeCell ref="A720:B720"/>
    <mergeCell ref="C723:D723"/>
    <mergeCell ref="E723:F723"/>
    <mergeCell ref="A721:B721"/>
    <mergeCell ref="C721:D721"/>
    <mergeCell ref="E721:F721"/>
    <mergeCell ref="A722:B722"/>
    <mergeCell ref="C722:D722"/>
    <mergeCell ref="E722:F722"/>
    <mergeCell ref="A723:B723"/>
    <mergeCell ref="C726:D726"/>
    <mergeCell ref="E726:F726"/>
    <mergeCell ref="A724:B724"/>
    <mergeCell ref="C724:D724"/>
    <mergeCell ref="E724:F724"/>
    <mergeCell ref="A725:B725"/>
    <mergeCell ref="C725:D725"/>
    <mergeCell ref="E725:F725"/>
    <mergeCell ref="A726:B726"/>
    <mergeCell ref="C729:D729"/>
    <mergeCell ref="E729:F729"/>
    <mergeCell ref="A727:B727"/>
    <mergeCell ref="C727:D727"/>
    <mergeCell ref="E727:F727"/>
    <mergeCell ref="A728:B728"/>
    <mergeCell ref="C728:D728"/>
    <mergeCell ref="E728:F728"/>
    <mergeCell ref="A729:B729"/>
    <mergeCell ref="C732:D732"/>
    <mergeCell ref="E732:F732"/>
    <mergeCell ref="A730:B730"/>
    <mergeCell ref="C730:D730"/>
    <mergeCell ref="E730:F730"/>
    <mergeCell ref="A731:B731"/>
    <mergeCell ref="C731:D731"/>
    <mergeCell ref="E731:F731"/>
    <mergeCell ref="A732:B732"/>
    <mergeCell ref="C735:D735"/>
    <mergeCell ref="E735:F735"/>
    <mergeCell ref="A733:B733"/>
    <mergeCell ref="C733:D733"/>
    <mergeCell ref="E733:F733"/>
    <mergeCell ref="A734:B734"/>
    <mergeCell ref="C734:D734"/>
    <mergeCell ref="E734:F734"/>
    <mergeCell ref="A735:B735"/>
    <mergeCell ref="C738:D738"/>
    <mergeCell ref="E738:F738"/>
    <mergeCell ref="A736:B736"/>
    <mergeCell ref="C736:D736"/>
    <mergeCell ref="E736:F736"/>
    <mergeCell ref="A737:B737"/>
    <mergeCell ref="C737:D737"/>
    <mergeCell ref="E737:F737"/>
    <mergeCell ref="A738:B738"/>
    <mergeCell ref="C741:D741"/>
    <mergeCell ref="E741:F741"/>
    <mergeCell ref="A739:B739"/>
    <mergeCell ref="C739:D739"/>
    <mergeCell ref="E739:F739"/>
    <mergeCell ref="A740:B740"/>
    <mergeCell ref="C740:D740"/>
    <mergeCell ref="E740:F740"/>
    <mergeCell ref="A741:B741"/>
    <mergeCell ref="C744:D744"/>
    <mergeCell ref="E744:F744"/>
    <mergeCell ref="A742:B742"/>
    <mergeCell ref="C742:D742"/>
    <mergeCell ref="E742:F742"/>
    <mergeCell ref="A743:B743"/>
    <mergeCell ref="C743:D743"/>
    <mergeCell ref="E743:F743"/>
    <mergeCell ref="A744:B744"/>
    <mergeCell ref="C894:D894"/>
    <mergeCell ref="E894:F894"/>
    <mergeCell ref="A892:B892"/>
    <mergeCell ref="C892:D892"/>
    <mergeCell ref="E892:F892"/>
    <mergeCell ref="A893:B893"/>
    <mergeCell ref="C893:D893"/>
    <mergeCell ref="E893:F893"/>
    <mergeCell ref="A894:B894"/>
    <mergeCell ref="C897:D897"/>
    <mergeCell ref="E897:F897"/>
    <mergeCell ref="A895:B895"/>
    <mergeCell ref="C895:D895"/>
    <mergeCell ref="E895:F895"/>
    <mergeCell ref="A896:B896"/>
    <mergeCell ref="C896:D896"/>
    <mergeCell ref="E896:F896"/>
    <mergeCell ref="A897:B897"/>
    <mergeCell ref="C900:D900"/>
    <mergeCell ref="E900:F900"/>
    <mergeCell ref="A898:B898"/>
    <mergeCell ref="C898:D898"/>
    <mergeCell ref="E898:F898"/>
    <mergeCell ref="A899:B899"/>
    <mergeCell ref="C899:D899"/>
    <mergeCell ref="E899:F899"/>
    <mergeCell ref="A900:B900"/>
    <mergeCell ref="C903:D903"/>
    <mergeCell ref="E903:F903"/>
    <mergeCell ref="A901:B901"/>
    <mergeCell ref="C901:D901"/>
    <mergeCell ref="E901:F901"/>
    <mergeCell ref="A902:B902"/>
    <mergeCell ref="C902:D902"/>
    <mergeCell ref="E902:F902"/>
    <mergeCell ref="A903:B903"/>
    <mergeCell ref="C906:D906"/>
    <mergeCell ref="E906:F906"/>
    <mergeCell ref="A904:B904"/>
    <mergeCell ref="C904:D904"/>
    <mergeCell ref="E904:F904"/>
    <mergeCell ref="A905:B905"/>
    <mergeCell ref="C905:D905"/>
    <mergeCell ref="E905:F905"/>
    <mergeCell ref="A906:B906"/>
    <mergeCell ref="C909:D909"/>
    <mergeCell ref="E909:F909"/>
    <mergeCell ref="A907:B907"/>
    <mergeCell ref="C907:D907"/>
    <mergeCell ref="E907:F907"/>
    <mergeCell ref="A908:B908"/>
    <mergeCell ref="C908:D908"/>
    <mergeCell ref="E908:F908"/>
    <mergeCell ref="A909:B909"/>
    <mergeCell ref="C912:D912"/>
    <mergeCell ref="E912:F912"/>
    <mergeCell ref="A910:B910"/>
    <mergeCell ref="C910:D910"/>
    <mergeCell ref="E910:F910"/>
    <mergeCell ref="A911:B911"/>
    <mergeCell ref="C911:D911"/>
    <mergeCell ref="E911:F911"/>
    <mergeCell ref="A912:B912"/>
    <mergeCell ref="C915:D915"/>
    <mergeCell ref="E915:F915"/>
    <mergeCell ref="A913:B913"/>
    <mergeCell ref="C913:D913"/>
    <mergeCell ref="E913:F913"/>
    <mergeCell ref="A914:B914"/>
    <mergeCell ref="C914:D914"/>
    <mergeCell ref="E914:F914"/>
    <mergeCell ref="A915:B915"/>
    <mergeCell ref="C918:D918"/>
    <mergeCell ref="E918:F918"/>
    <mergeCell ref="A916:B916"/>
    <mergeCell ref="C916:D916"/>
    <mergeCell ref="E916:F916"/>
    <mergeCell ref="A917:B917"/>
    <mergeCell ref="C917:D917"/>
    <mergeCell ref="E917:F917"/>
    <mergeCell ref="A918:B918"/>
    <mergeCell ref="C921:D921"/>
    <mergeCell ref="E921:F921"/>
    <mergeCell ref="A919:B919"/>
    <mergeCell ref="C919:D919"/>
    <mergeCell ref="E919:F919"/>
    <mergeCell ref="A920:B920"/>
    <mergeCell ref="C920:D920"/>
    <mergeCell ref="E920:F920"/>
    <mergeCell ref="A921:B921"/>
    <mergeCell ref="C924:D924"/>
    <mergeCell ref="E924:F924"/>
    <mergeCell ref="A922:B922"/>
    <mergeCell ref="C922:D922"/>
    <mergeCell ref="E922:F922"/>
    <mergeCell ref="A923:B923"/>
    <mergeCell ref="C923:D923"/>
    <mergeCell ref="E923:F923"/>
    <mergeCell ref="A924:B924"/>
    <mergeCell ref="C927:D927"/>
    <mergeCell ref="E927:F927"/>
    <mergeCell ref="A925:B925"/>
    <mergeCell ref="C925:D925"/>
    <mergeCell ref="E925:F925"/>
    <mergeCell ref="A926:B926"/>
    <mergeCell ref="C926:D926"/>
    <mergeCell ref="E926:F926"/>
    <mergeCell ref="A927:B927"/>
    <mergeCell ref="C930:D930"/>
    <mergeCell ref="E930:F930"/>
    <mergeCell ref="A928:B928"/>
    <mergeCell ref="C928:D928"/>
    <mergeCell ref="E928:F928"/>
    <mergeCell ref="A929:B929"/>
    <mergeCell ref="C929:D929"/>
    <mergeCell ref="E929:F929"/>
    <mergeCell ref="A930:B930"/>
    <mergeCell ref="C933:D933"/>
    <mergeCell ref="E933:F933"/>
    <mergeCell ref="A931:B931"/>
    <mergeCell ref="C931:D931"/>
    <mergeCell ref="E931:F931"/>
    <mergeCell ref="A932:B932"/>
    <mergeCell ref="C932:D932"/>
    <mergeCell ref="E932:F932"/>
    <mergeCell ref="A933:B933"/>
    <mergeCell ref="C936:D936"/>
    <mergeCell ref="E936:F936"/>
    <mergeCell ref="A934:B934"/>
    <mergeCell ref="C934:D934"/>
    <mergeCell ref="E934:F934"/>
    <mergeCell ref="A935:B935"/>
    <mergeCell ref="C935:D935"/>
    <mergeCell ref="E935:F935"/>
    <mergeCell ref="A936:B936"/>
    <mergeCell ref="C939:D939"/>
    <mergeCell ref="E939:F939"/>
    <mergeCell ref="A937:B937"/>
    <mergeCell ref="C937:D937"/>
    <mergeCell ref="E937:F937"/>
    <mergeCell ref="A938:B938"/>
    <mergeCell ref="C938:D938"/>
    <mergeCell ref="E938:F938"/>
    <mergeCell ref="A939:B939"/>
    <mergeCell ref="C942:D942"/>
    <mergeCell ref="E942:F942"/>
    <mergeCell ref="A940:B940"/>
    <mergeCell ref="C940:D940"/>
    <mergeCell ref="E940:F940"/>
    <mergeCell ref="A941:B941"/>
    <mergeCell ref="C941:D941"/>
    <mergeCell ref="E941:F941"/>
    <mergeCell ref="A942:B942"/>
    <mergeCell ref="C945:D945"/>
    <mergeCell ref="E945:F945"/>
    <mergeCell ref="A943:B943"/>
    <mergeCell ref="C943:D943"/>
    <mergeCell ref="E943:F943"/>
    <mergeCell ref="A944:B944"/>
    <mergeCell ref="C944:D944"/>
    <mergeCell ref="E944:F944"/>
    <mergeCell ref="A945:B945"/>
    <mergeCell ref="C948:D948"/>
    <mergeCell ref="E948:F948"/>
    <mergeCell ref="A946:B946"/>
    <mergeCell ref="C946:D946"/>
    <mergeCell ref="E946:F946"/>
    <mergeCell ref="A947:B947"/>
    <mergeCell ref="C947:D947"/>
    <mergeCell ref="E947:F947"/>
    <mergeCell ref="A948:B948"/>
    <mergeCell ref="C951:D951"/>
    <mergeCell ref="E951:F951"/>
    <mergeCell ref="A949:B949"/>
    <mergeCell ref="C949:D949"/>
    <mergeCell ref="E949:F949"/>
    <mergeCell ref="A950:B950"/>
    <mergeCell ref="C950:D950"/>
    <mergeCell ref="E950:F950"/>
    <mergeCell ref="A951:B951"/>
    <mergeCell ref="C954:D954"/>
    <mergeCell ref="E954:F954"/>
    <mergeCell ref="A952:B952"/>
    <mergeCell ref="C952:D952"/>
    <mergeCell ref="E952:F952"/>
    <mergeCell ref="A953:B953"/>
    <mergeCell ref="C953:D953"/>
    <mergeCell ref="E953:F953"/>
    <mergeCell ref="A954:B954"/>
    <mergeCell ref="C957:D957"/>
    <mergeCell ref="E957:F957"/>
    <mergeCell ref="A955:B955"/>
    <mergeCell ref="C955:D955"/>
    <mergeCell ref="E955:F955"/>
    <mergeCell ref="A956:B956"/>
    <mergeCell ref="C956:D956"/>
    <mergeCell ref="E956:F956"/>
    <mergeCell ref="A957:B957"/>
    <mergeCell ref="C960:D960"/>
    <mergeCell ref="E960:F960"/>
    <mergeCell ref="A958:B958"/>
    <mergeCell ref="C958:D958"/>
    <mergeCell ref="E958:F958"/>
    <mergeCell ref="A959:B959"/>
    <mergeCell ref="C959:D959"/>
    <mergeCell ref="E959:F959"/>
    <mergeCell ref="A960:B960"/>
    <mergeCell ref="C963:D963"/>
    <mergeCell ref="E963:F963"/>
    <mergeCell ref="A961:B961"/>
    <mergeCell ref="C961:D961"/>
    <mergeCell ref="E961:F961"/>
    <mergeCell ref="A962:B962"/>
    <mergeCell ref="C962:D962"/>
    <mergeCell ref="E962:F962"/>
    <mergeCell ref="A963:B963"/>
    <mergeCell ref="C966:D966"/>
    <mergeCell ref="E966:F966"/>
    <mergeCell ref="A964:B964"/>
    <mergeCell ref="C964:D964"/>
    <mergeCell ref="E964:F964"/>
    <mergeCell ref="A965:B965"/>
    <mergeCell ref="C965:D965"/>
    <mergeCell ref="E965:F965"/>
    <mergeCell ref="A966:B966"/>
    <mergeCell ref="C969:D969"/>
    <mergeCell ref="E969:F969"/>
    <mergeCell ref="A967:B967"/>
    <mergeCell ref="C967:D967"/>
    <mergeCell ref="E967:F967"/>
    <mergeCell ref="A968:B968"/>
    <mergeCell ref="C968:D968"/>
    <mergeCell ref="E968:F968"/>
    <mergeCell ref="A969:B969"/>
    <mergeCell ref="C972:D972"/>
    <mergeCell ref="E972:F972"/>
    <mergeCell ref="A970:B970"/>
    <mergeCell ref="C970:D970"/>
    <mergeCell ref="E970:F970"/>
    <mergeCell ref="A971:B971"/>
    <mergeCell ref="C971:D971"/>
    <mergeCell ref="E971:F971"/>
    <mergeCell ref="A972:B972"/>
    <mergeCell ref="C975:D975"/>
    <mergeCell ref="E975:F975"/>
    <mergeCell ref="A973:B973"/>
    <mergeCell ref="C973:D973"/>
    <mergeCell ref="E973:F973"/>
    <mergeCell ref="A974:B974"/>
    <mergeCell ref="C974:D974"/>
    <mergeCell ref="E974:F974"/>
    <mergeCell ref="A975:B975"/>
    <mergeCell ref="C999:D999"/>
    <mergeCell ref="E999:F999"/>
    <mergeCell ref="A997:B997"/>
    <mergeCell ref="C997:D997"/>
    <mergeCell ref="E997:F997"/>
    <mergeCell ref="A998:B998"/>
    <mergeCell ref="C998:D998"/>
    <mergeCell ref="E998:F998"/>
    <mergeCell ref="A999:B999"/>
    <mergeCell ref="C3:D3"/>
    <mergeCell ref="E3:F3"/>
    <mergeCell ref="A1:B1"/>
    <mergeCell ref="C1:D1"/>
    <mergeCell ref="E1:F1"/>
    <mergeCell ref="A2:B2"/>
    <mergeCell ref="C2:D2"/>
    <mergeCell ref="E2:F2"/>
    <mergeCell ref="A3:B3"/>
    <mergeCell ref="C6:D6"/>
    <mergeCell ref="E6:F6"/>
    <mergeCell ref="A4:B4"/>
    <mergeCell ref="C4:D4"/>
    <mergeCell ref="E4:F4"/>
    <mergeCell ref="A5:B5"/>
    <mergeCell ref="C5:D5"/>
    <mergeCell ref="E5:F5"/>
    <mergeCell ref="A6:B6"/>
    <mergeCell ref="C9:D9"/>
    <mergeCell ref="E9:F9"/>
    <mergeCell ref="A7:B7"/>
    <mergeCell ref="C7:D7"/>
    <mergeCell ref="E7:F7"/>
    <mergeCell ref="A8:B8"/>
    <mergeCell ref="C8:D8"/>
    <mergeCell ref="E8:F8"/>
    <mergeCell ref="A9:B9"/>
    <mergeCell ref="A1000:B1000"/>
    <mergeCell ref="C1000:D1000"/>
    <mergeCell ref="E1000:F1000"/>
    <mergeCell ref="C978:D978"/>
    <mergeCell ref="E978:F978"/>
    <mergeCell ref="A976:B976"/>
    <mergeCell ref="C976:D976"/>
    <mergeCell ref="E976:F976"/>
    <mergeCell ref="A977:B977"/>
    <mergeCell ref="C977:D977"/>
    <mergeCell ref="E977:F977"/>
    <mergeCell ref="A978:B978"/>
    <mergeCell ref="C981:D981"/>
    <mergeCell ref="E981:F981"/>
    <mergeCell ref="A979:B979"/>
    <mergeCell ref="C979:D979"/>
    <mergeCell ref="E979:F979"/>
    <mergeCell ref="A980:B980"/>
    <mergeCell ref="C980:D980"/>
    <mergeCell ref="E980:F980"/>
    <mergeCell ref="A981:B981"/>
    <mergeCell ref="C984:D984"/>
    <mergeCell ref="E984:F984"/>
    <mergeCell ref="A982:B982"/>
    <mergeCell ref="C982:D982"/>
    <mergeCell ref="E982:F982"/>
    <mergeCell ref="A983:B983"/>
    <mergeCell ref="C983:D983"/>
    <mergeCell ref="E983:F983"/>
    <mergeCell ref="A984:B984"/>
    <mergeCell ref="C987:D987"/>
    <mergeCell ref="E987:F987"/>
    <mergeCell ref="A985:B985"/>
    <mergeCell ref="C985:D985"/>
    <mergeCell ref="E985:F985"/>
    <mergeCell ref="A986:B986"/>
    <mergeCell ref="C986:D986"/>
    <mergeCell ref="E986:F986"/>
    <mergeCell ref="A987:B987"/>
    <mergeCell ref="C990:D990"/>
    <mergeCell ref="E990:F990"/>
    <mergeCell ref="A988:B988"/>
    <mergeCell ref="C988:D988"/>
    <mergeCell ref="E988:F988"/>
    <mergeCell ref="A989:B989"/>
    <mergeCell ref="C989:D989"/>
    <mergeCell ref="E989:F989"/>
    <mergeCell ref="A990:B990"/>
    <mergeCell ref="C993:D993"/>
    <mergeCell ref="E993:F993"/>
    <mergeCell ref="A991:B991"/>
    <mergeCell ref="C991:D991"/>
    <mergeCell ref="E991:F991"/>
    <mergeCell ref="A992:B992"/>
    <mergeCell ref="C992:D992"/>
    <mergeCell ref="E992:F992"/>
    <mergeCell ref="A993:B993"/>
    <mergeCell ref="C996:D996"/>
    <mergeCell ref="E996:F996"/>
    <mergeCell ref="A994:B994"/>
    <mergeCell ref="C994:D994"/>
    <mergeCell ref="E994:F994"/>
    <mergeCell ref="A995:B995"/>
    <mergeCell ref="C995:D995"/>
    <mergeCell ref="E995:F995"/>
    <mergeCell ref="A996:B996"/>
    <mergeCell ref="C747:D747"/>
    <mergeCell ref="E747:F747"/>
    <mergeCell ref="A745:B745"/>
    <mergeCell ref="C745:D745"/>
    <mergeCell ref="E745:F745"/>
    <mergeCell ref="A746:B746"/>
    <mergeCell ref="C746:D746"/>
    <mergeCell ref="E746:F746"/>
    <mergeCell ref="A747:B747"/>
    <mergeCell ref="C750:D750"/>
    <mergeCell ref="E750:F750"/>
    <mergeCell ref="A748:B748"/>
    <mergeCell ref="C748:D748"/>
    <mergeCell ref="E748:F748"/>
    <mergeCell ref="A749:B749"/>
    <mergeCell ref="C749:D749"/>
    <mergeCell ref="E749:F749"/>
    <mergeCell ref="A750:B750"/>
    <mergeCell ref="C753:D753"/>
    <mergeCell ref="E753:F753"/>
    <mergeCell ref="A751:B751"/>
    <mergeCell ref="C751:D751"/>
    <mergeCell ref="E751:F751"/>
    <mergeCell ref="A752:B752"/>
    <mergeCell ref="C752:D752"/>
    <mergeCell ref="E752:F752"/>
    <mergeCell ref="A753:B753"/>
    <mergeCell ref="C756:D756"/>
    <mergeCell ref="E756:F756"/>
    <mergeCell ref="A754:B754"/>
    <mergeCell ref="C754:D754"/>
    <mergeCell ref="E754:F754"/>
    <mergeCell ref="A755:B755"/>
    <mergeCell ref="C755:D755"/>
    <mergeCell ref="E755:F755"/>
    <mergeCell ref="A756:B756"/>
    <mergeCell ref="C759:D759"/>
    <mergeCell ref="E759:F759"/>
    <mergeCell ref="A757:B757"/>
    <mergeCell ref="C757:D757"/>
    <mergeCell ref="E757:F757"/>
    <mergeCell ref="A758:B758"/>
    <mergeCell ref="C758:D758"/>
    <mergeCell ref="E758:F758"/>
    <mergeCell ref="A759:B759"/>
    <mergeCell ref="C762:D762"/>
    <mergeCell ref="E762:F762"/>
    <mergeCell ref="A760:B760"/>
    <mergeCell ref="C760:D760"/>
    <mergeCell ref="E760:F760"/>
    <mergeCell ref="A761:B761"/>
    <mergeCell ref="C761:D761"/>
    <mergeCell ref="E761:F761"/>
    <mergeCell ref="A762:B762"/>
    <mergeCell ref="C765:D765"/>
    <mergeCell ref="E765:F765"/>
    <mergeCell ref="A763:B763"/>
    <mergeCell ref="C763:D763"/>
    <mergeCell ref="E763:F763"/>
    <mergeCell ref="A764:B764"/>
    <mergeCell ref="C764:D764"/>
    <mergeCell ref="E764:F764"/>
    <mergeCell ref="A765:B765"/>
    <mergeCell ref="C768:D768"/>
    <mergeCell ref="E768:F768"/>
    <mergeCell ref="A766:B766"/>
    <mergeCell ref="C766:D766"/>
    <mergeCell ref="E766:F766"/>
    <mergeCell ref="A767:B767"/>
    <mergeCell ref="C767:D767"/>
    <mergeCell ref="E767:F767"/>
    <mergeCell ref="A768:B768"/>
    <mergeCell ref="C771:D771"/>
    <mergeCell ref="E771:F771"/>
    <mergeCell ref="A769:B769"/>
    <mergeCell ref="C769:D769"/>
    <mergeCell ref="E769:F769"/>
    <mergeCell ref="A770:B770"/>
    <mergeCell ref="C770:D770"/>
    <mergeCell ref="E770:F770"/>
    <mergeCell ref="A771:B771"/>
    <mergeCell ref="C774:D774"/>
    <mergeCell ref="E774:F774"/>
    <mergeCell ref="A772:B772"/>
    <mergeCell ref="C772:D772"/>
    <mergeCell ref="E772:F772"/>
    <mergeCell ref="A773:B773"/>
    <mergeCell ref="C773:D773"/>
    <mergeCell ref="E773:F773"/>
    <mergeCell ref="A774:B774"/>
    <mergeCell ref="C777:D777"/>
    <mergeCell ref="E777:F777"/>
    <mergeCell ref="A775:B775"/>
    <mergeCell ref="C775:D775"/>
    <mergeCell ref="E775:F775"/>
    <mergeCell ref="A776:B776"/>
    <mergeCell ref="C776:D776"/>
    <mergeCell ref="E776:F776"/>
    <mergeCell ref="A777:B777"/>
    <mergeCell ref="C780:D780"/>
    <mergeCell ref="E780:F780"/>
    <mergeCell ref="A778:B778"/>
    <mergeCell ref="C778:D778"/>
    <mergeCell ref="E778:F778"/>
    <mergeCell ref="A779:B779"/>
    <mergeCell ref="C779:D779"/>
    <mergeCell ref="E779:F779"/>
    <mergeCell ref="A780:B780"/>
    <mergeCell ref="C783:D783"/>
    <mergeCell ref="E783:F783"/>
    <mergeCell ref="A781:B781"/>
    <mergeCell ref="C781:D781"/>
    <mergeCell ref="E781:F781"/>
    <mergeCell ref="A782:B782"/>
    <mergeCell ref="C782:D782"/>
    <mergeCell ref="E782:F782"/>
    <mergeCell ref="A783:B783"/>
    <mergeCell ref="C786:D786"/>
    <mergeCell ref="E786:F786"/>
    <mergeCell ref="A784:B784"/>
    <mergeCell ref="C784:D784"/>
    <mergeCell ref="E784:F784"/>
    <mergeCell ref="A785:B785"/>
    <mergeCell ref="C785:D785"/>
    <mergeCell ref="E785:F785"/>
    <mergeCell ref="A786:B786"/>
    <mergeCell ref="C789:D789"/>
    <mergeCell ref="E789:F789"/>
    <mergeCell ref="A787:B787"/>
    <mergeCell ref="C787:D787"/>
    <mergeCell ref="E787:F787"/>
    <mergeCell ref="A788:B788"/>
    <mergeCell ref="C788:D788"/>
    <mergeCell ref="E788:F788"/>
    <mergeCell ref="A789:B789"/>
    <mergeCell ref="C792:D792"/>
    <mergeCell ref="E792:F792"/>
    <mergeCell ref="A790:B790"/>
    <mergeCell ref="C790:D790"/>
    <mergeCell ref="E790:F790"/>
    <mergeCell ref="A791:B791"/>
    <mergeCell ref="C791:D791"/>
    <mergeCell ref="E791:F791"/>
    <mergeCell ref="A792:B792"/>
    <mergeCell ref="C795:D795"/>
    <mergeCell ref="E795:F795"/>
    <mergeCell ref="A793:B793"/>
    <mergeCell ref="C793:D793"/>
    <mergeCell ref="E793:F793"/>
    <mergeCell ref="A794:B794"/>
    <mergeCell ref="C794:D794"/>
    <mergeCell ref="E794:F794"/>
    <mergeCell ref="A795:B795"/>
    <mergeCell ref="C798:D798"/>
    <mergeCell ref="E798:F798"/>
    <mergeCell ref="A796:B796"/>
    <mergeCell ref="C796:D796"/>
    <mergeCell ref="E796:F796"/>
    <mergeCell ref="A797:B797"/>
    <mergeCell ref="C797:D797"/>
    <mergeCell ref="E797:F797"/>
    <mergeCell ref="A798:B798"/>
    <mergeCell ref="C801:D801"/>
    <mergeCell ref="E801:F801"/>
    <mergeCell ref="A799:B799"/>
    <mergeCell ref="C799:D799"/>
    <mergeCell ref="E799:F799"/>
    <mergeCell ref="A800:B800"/>
    <mergeCell ref="C800:D800"/>
    <mergeCell ref="E800:F800"/>
    <mergeCell ref="A801:B801"/>
    <mergeCell ref="C804:D804"/>
    <mergeCell ref="E804:F804"/>
    <mergeCell ref="A802:B802"/>
    <mergeCell ref="C802:D802"/>
    <mergeCell ref="E802:F802"/>
    <mergeCell ref="A803:B803"/>
    <mergeCell ref="C803:D803"/>
    <mergeCell ref="E803:F803"/>
    <mergeCell ref="A804:B804"/>
    <mergeCell ref="C807:D807"/>
    <mergeCell ref="E807:F807"/>
    <mergeCell ref="A805:B805"/>
    <mergeCell ref="C805:D805"/>
    <mergeCell ref="E805:F805"/>
    <mergeCell ref="A806:B806"/>
    <mergeCell ref="C806:D806"/>
    <mergeCell ref="E806:F806"/>
    <mergeCell ref="A807:B807"/>
    <mergeCell ref="C810:D810"/>
    <mergeCell ref="E810:F810"/>
    <mergeCell ref="A808:B808"/>
    <mergeCell ref="C808:D808"/>
    <mergeCell ref="E808:F808"/>
    <mergeCell ref="A809:B809"/>
    <mergeCell ref="C809:D809"/>
    <mergeCell ref="E809:F809"/>
    <mergeCell ref="A810:B810"/>
    <mergeCell ref="C813:D813"/>
    <mergeCell ref="E813:F813"/>
    <mergeCell ref="A811:B811"/>
    <mergeCell ref="C811:D811"/>
    <mergeCell ref="E811:F811"/>
    <mergeCell ref="A812:B812"/>
    <mergeCell ref="C812:D812"/>
    <mergeCell ref="E812:F812"/>
    <mergeCell ref="A813:B813"/>
    <mergeCell ref="C816:D816"/>
    <mergeCell ref="E816:F816"/>
    <mergeCell ref="A814:B814"/>
    <mergeCell ref="C814:D814"/>
    <mergeCell ref="E814:F814"/>
    <mergeCell ref="A815:B815"/>
    <mergeCell ref="C815:D815"/>
    <mergeCell ref="E815:F815"/>
    <mergeCell ref="A816:B816"/>
    <mergeCell ref="C819:D819"/>
    <mergeCell ref="E819:F819"/>
    <mergeCell ref="A817:B817"/>
    <mergeCell ref="C817:D817"/>
    <mergeCell ref="E817:F817"/>
    <mergeCell ref="A818:B818"/>
    <mergeCell ref="C818:D818"/>
    <mergeCell ref="E818:F818"/>
    <mergeCell ref="A819:B819"/>
    <mergeCell ref="C822:D822"/>
    <mergeCell ref="E822:F822"/>
    <mergeCell ref="A820:B820"/>
    <mergeCell ref="C820:D820"/>
    <mergeCell ref="E820:F820"/>
    <mergeCell ref="A821:B821"/>
    <mergeCell ref="C821:D821"/>
    <mergeCell ref="E821:F821"/>
    <mergeCell ref="A822:B822"/>
    <mergeCell ref="C825:D825"/>
    <mergeCell ref="E825:F825"/>
    <mergeCell ref="A823:B823"/>
    <mergeCell ref="C823:D823"/>
    <mergeCell ref="E823:F823"/>
    <mergeCell ref="A824:B824"/>
    <mergeCell ref="C824:D824"/>
    <mergeCell ref="E824:F824"/>
    <mergeCell ref="A825:B825"/>
    <mergeCell ref="C828:D828"/>
    <mergeCell ref="E828:F828"/>
    <mergeCell ref="A826:B826"/>
    <mergeCell ref="C826:D826"/>
    <mergeCell ref="E826:F826"/>
    <mergeCell ref="A827:B827"/>
    <mergeCell ref="C827:D827"/>
    <mergeCell ref="E827:F827"/>
    <mergeCell ref="A828:B828"/>
    <mergeCell ref="C831:D831"/>
    <mergeCell ref="E831:F831"/>
    <mergeCell ref="A829:B829"/>
    <mergeCell ref="C829:D829"/>
    <mergeCell ref="E829:F829"/>
    <mergeCell ref="A830:B830"/>
    <mergeCell ref="C830:D830"/>
    <mergeCell ref="E830:F830"/>
    <mergeCell ref="A831:B831"/>
    <mergeCell ref="C834:D834"/>
    <mergeCell ref="E834:F834"/>
    <mergeCell ref="A832:B832"/>
    <mergeCell ref="C832:D832"/>
    <mergeCell ref="E832:F832"/>
    <mergeCell ref="A833:B833"/>
    <mergeCell ref="C833:D833"/>
    <mergeCell ref="E833:F833"/>
    <mergeCell ref="A834:B834"/>
    <mergeCell ref="C837:D837"/>
    <mergeCell ref="E837:F837"/>
    <mergeCell ref="A835:B835"/>
    <mergeCell ref="C835:D835"/>
    <mergeCell ref="E835:F835"/>
    <mergeCell ref="A836:B836"/>
    <mergeCell ref="C836:D836"/>
    <mergeCell ref="E836:F836"/>
    <mergeCell ref="A837:B837"/>
    <mergeCell ref="C840:D840"/>
    <mergeCell ref="E840:F840"/>
    <mergeCell ref="A838:B838"/>
    <mergeCell ref="C838:D838"/>
    <mergeCell ref="E838:F838"/>
    <mergeCell ref="A839:B839"/>
    <mergeCell ref="C839:D839"/>
    <mergeCell ref="E839:F839"/>
    <mergeCell ref="A840:B840"/>
    <mergeCell ref="C843:D843"/>
    <mergeCell ref="E843:F843"/>
    <mergeCell ref="A841:B841"/>
    <mergeCell ref="C841:D841"/>
    <mergeCell ref="E841:F841"/>
    <mergeCell ref="A842:B842"/>
    <mergeCell ref="C842:D842"/>
    <mergeCell ref="E842:F842"/>
    <mergeCell ref="A843:B843"/>
    <mergeCell ref="C846:D846"/>
    <mergeCell ref="E846:F846"/>
    <mergeCell ref="A844:B844"/>
    <mergeCell ref="C844:D844"/>
    <mergeCell ref="E844:F844"/>
    <mergeCell ref="A845:B845"/>
    <mergeCell ref="C845:D845"/>
    <mergeCell ref="E845:F845"/>
    <mergeCell ref="A846:B846"/>
    <mergeCell ref="C849:D849"/>
    <mergeCell ref="E849:F849"/>
    <mergeCell ref="A847:B847"/>
    <mergeCell ref="C847:D847"/>
    <mergeCell ref="E847:F847"/>
    <mergeCell ref="A848:B848"/>
    <mergeCell ref="C848:D848"/>
    <mergeCell ref="E848:F848"/>
    <mergeCell ref="A849:B849"/>
    <mergeCell ref="C852:D852"/>
    <mergeCell ref="E852:F852"/>
    <mergeCell ref="A850:B850"/>
    <mergeCell ref="C850:D850"/>
    <mergeCell ref="E850:F850"/>
    <mergeCell ref="A851:B851"/>
    <mergeCell ref="C851:D851"/>
    <mergeCell ref="E851:F851"/>
    <mergeCell ref="A852:B852"/>
    <mergeCell ref="C855:D855"/>
    <mergeCell ref="E855:F855"/>
    <mergeCell ref="A853:B853"/>
    <mergeCell ref="C853:D853"/>
    <mergeCell ref="E853:F853"/>
    <mergeCell ref="A854:B854"/>
    <mergeCell ref="C854:D854"/>
    <mergeCell ref="E854:F854"/>
    <mergeCell ref="A855:B855"/>
    <mergeCell ref="C858:D858"/>
    <mergeCell ref="E858:F858"/>
    <mergeCell ref="A856:B856"/>
    <mergeCell ref="C856:D856"/>
    <mergeCell ref="E856:F856"/>
    <mergeCell ref="A857:B857"/>
    <mergeCell ref="C857:D857"/>
    <mergeCell ref="E857:F857"/>
    <mergeCell ref="A858:B858"/>
    <mergeCell ref="C861:D861"/>
    <mergeCell ref="E861:F861"/>
    <mergeCell ref="A859:B859"/>
    <mergeCell ref="C859:D859"/>
    <mergeCell ref="E859:F859"/>
    <mergeCell ref="A860:B860"/>
    <mergeCell ref="C860:D860"/>
    <mergeCell ref="E860:F860"/>
    <mergeCell ref="A861:B861"/>
    <mergeCell ref="C864:D864"/>
    <mergeCell ref="E864:F864"/>
    <mergeCell ref="A862:B862"/>
    <mergeCell ref="C862:D862"/>
    <mergeCell ref="E862:F862"/>
    <mergeCell ref="A863:B863"/>
    <mergeCell ref="C863:D863"/>
    <mergeCell ref="E863:F863"/>
    <mergeCell ref="A864:B864"/>
    <mergeCell ref="C867:D867"/>
    <mergeCell ref="E867:F867"/>
    <mergeCell ref="A865:B865"/>
    <mergeCell ref="C865:D865"/>
    <mergeCell ref="E865:F865"/>
    <mergeCell ref="A866:B866"/>
    <mergeCell ref="C866:D866"/>
    <mergeCell ref="E866:F866"/>
    <mergeCell ref="A867:B867"/>
    <mergeCell ref="C870:D870"/>
    <mergeCell ref="E870:F870"/>
    <mergeCell ref="A868:B868"/>
    <mergeCell ref="C868:D868"/>
    <mergeCell ref="E868:F868"/>
    <mergeCell ref="A869:B869"/>
    <mergeCell ref="C869:D869"/>
    <mergeCell ref="E869:F869"/>
    <mergeCell ref="A870:B870"/>
    <mergeCell ref="C873:D873"/>
    <mergeCell ref="E873:F873"/>
    <mergeCell ref="A871:B871"/>
    <mergeCell ref="C871:D871"/>
    <mergeCell ref="E871:F871"/>
    <mergeCell ref="A872:B872"/>
    <mergeCell ref="C872:D872"/>
    <mergeCell ref="E872:F872"/>
    <mergeCell ref="A873:B873"/>
    <mergeCell ref="C876:D876"/>
    <mergeCell ref="E876:F876"/>
    <mergeCell ref="A874:B874"/>
    <mergeCell ref="C874:D874"/>
    <mergeCell ref="E874:F874"/>
    <mergeCell ref="A875:B875"/>
    <mergeCell ref="C875:D875"/>
    <mergeCell ref="E875:F875"/>
    <mergeCell ref="A876:B876"/>
    <mergeCell ref="C879:D879"/>
    <mergeCell ref="E879:F879"/>
    <mergeCell ref="A877:B877"/>
    <mergeCell ref="C877:D877"/>
    <mergeCell ref="E877:F877"/>
    <mergeCell ref="A878:B878"/>
    <mergeCell ref="C878:D878"/>
    <mergeCell ref="E878:F878"/>
    <mergeCell ref="A879:B879"/>
    <mergeCell ref="C882:D882"/>
    <mergeCell ref="E882:F882"/>
    <mergeCell ref="A880:B880"/>
    <mergeCell ref="C880:D880"/>
    <mergeCell ref="E880:F880"/>
    <mergeCell ref="A881:B881"/>
    <mergeCell ref="C881:D881"/>
    <mergeCell ref="E881:F881"/>
    <mergeCell ref="A882:B882"/>
    <mergeCell ref="C885:D885"/>
    <mergeCell ref="E885:F885"/>
    <mergeCell ref="A883:B883"/>
    <mergeCell ref="C883:D883"/>
    <mergeCell ref="E883:F883"/>
    <mergeCell ref="A884:B884"/>
    <mergeCell ref="C884:D884"/>
    <mergeCell ref="E884:F884"/>
    <mergeCell ref="A885:B885"/>
    <mergeCell ref="C888:D888"/>
    <mergeCell ref="E888:F888"/>
    <mergeCell ref="A886:B886"/>
    <mergeCell ref="C886:D886"/>
    <mergeCell ref="E886:F886"/>
    <mergeCell ref="A887:B887"/>
    <mergeCell ref="C887:D887"/>
    <mergeCell ref="E887:F887"/>
    <mergeCell ref="A888:B888"/>
    <mergeCell ref="C891:D891"/>
    <mergeCell ref="E891:F891"/>
    <mergeCell ref="A889:B889"/>
    <mergeCell ref="C889:D889"/>
    <mergeCell ref="E889:F889"/>
    <mergeCell ref="A890:B890"/>
    <mergeCell ref="C890:D890"/>
    <mergeCell ref="E890:F890"/>
    <mergeCell ref="A891:B891"/>
  </mergeCells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A6"/>
    <hyperlink r:id="rId9" ref="A7"/>
    <hyperlink r:id="rId10" ref="A8"/>
    <hyperlink r:id="rId11" ref="A9"/>
    <hyperlink r:id="rId12" ref="A10"/>
  </hyperlinks>
  <drawing r:id="rId13"/>
</worksheet>
</file>